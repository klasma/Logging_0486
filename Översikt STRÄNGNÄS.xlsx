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2932-2024</t>
        </is>
      </c>
      <c r="B2" t="inlineStr">
        <is>
          <t>samrådsanmälan</t>
        </is>
      </c>
      <c r="C2" t="inlineStr">
        <is>
          <t>Annan skogsbruksåtgärd</t>
        </is>
      </c>
      <c r="D2" s="1" t="n">
        <v>45505</v>
      </c>
      <c r="E2" s="1" t="n">
        <v>46223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X2">
        <f>HYPERLINK("https://klasma.github.io/Logging_0486/kartor_geotiff/S 2932-2024 georefererad karta.tif", "S 2932-2024")</f>
        <v/>
      </c>
      <c r="Z2">
        <f>HYPERLINK("https://klasma.github.io/Logging_0486/klagomål/S 2932-2024 FSC-klagomål.docx", "S 2932-2024")</f>
        <v/>
      </c>
      <c r="AA2">
        <f>HYPERLINK("https://klasma.github.io/Logging_0486/klagomålsmail/S 2932-2024 FSC-klagomål mail.docx", "S 2932-2024")</f>
        <v/>
      </c>
      <c r="AB2">
        <f>HYPERLINK("https://klasma.github.io/Logging_0486/tillsyn/S 2932-2024 tillsynsbegäran.docx", "S 2932-2024")</f>
        <v/>
      </c>
      <c r="AC2">
        <f>HYPERLINK("https://klasma.github.io/Logging_0486/tillsynsmail/S 2932-2024 tillsynsbegäran mail.docx", "S 2932-2024")</f>
        <v/>
      </c>
      <c r="AD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X3">
        <f>HYPERLINK("https://klasma.github.io/Logging_0486/kartor_geotiff/A 3784-2025 georefererad karta.tif", "A 3784-2025")</f>
        <v/>
      </c>
      <c r="Z3">
        <f>HYPERLINK("https://klasma.github.io/Logging_0486/klagomål/A 3784-2025 FSC-klagomål.docx", "A 3784-2025")</f>
        <v/>
      </c>
      <c r="AA3">
        <f>HYPERLINK("https://klasma.github.io/Logging_0486/klagomålsmail/A 3784-2025 FSC-klagomål mail.docx", "A 3784-2025")</f>
        <v/>
      </c>
      <c r="AB3">
        <f>HYPERLINK("https://klasma.github.io/Logging_0486/tillsyn/A 3784-2025 tillsynsbegäran.docx", "A 3784-2025")</f>
        <v/>
      </c>
      <c r="AC3">
        <f>HYPERLINK("https://klasma.github.io/Logging_0486/tillsynsmail/A 3784-2025 tillsynsbegäran mail.docx", "A 3784-2025")</f>
        <v/>
      </c>
      <c r="AD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X4">
        <f>HYPERLINK("https://klasma.github.io/Logging_0486/kartor_geotiff/A 9237-2023 georefererad karta.tif", "A 9237-2023")</f>
        <v/>
      </c>
      <c r="Z4">
        <f>HYPERLINK("https://klasma.github.io/Logging_0486/klagomål/A 9237-2023 FSC-klagomål.docx", "A 9237-2023")</f>
        <v/>
      </c>
      <c r="AA4">
        <f>HYPERLINK("https://klasma.github.io/Logging_0486/klagomålsmail/A 9237-2023 FSC-klagomål mail.docx", "A 9237-2023")</f>
        <v/>
      </c>
      <c r="AB4">
        <f>HYPERLINK("https://klasma.github.io/Logging_0486/tillsyn/A 9237-2023 tillsynsbegäran.docx", "A 9237-2023")</f>
        <v/>
      </c>
      <c r="AC4">
        <f>HYPERLINK("https://klasma.github.io/Logging_0486/tillsynsmail/A 9237-2023 tillsynsbegäran mail.docx", "A 9237-2023")</f>
        <v/>
      </c>
      <c r="AD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X5">
        <f>HYPERLINK("https://klasma.github.io/Logging_0486/kartor_geotiff/A 41222-2025 georefererad karta.tif", "A 41222-2025")</f>
        <v/>
      </c>
      <c r="Z5">
        <f>HYPERLINK("https://klasma.github.io/Logging_0486/klagomål/A 41222-2025 FSC-klagomål.docx", "A 41222-2025")</f>
        <v/>
      </c>
      <c r="AA5">
        <f>HYPERLINK("https://klasma.github.io/Logging_0486/klagomålsmail/A 41222-2025 FSC-klagomål mail.docx", "A 41222-2025")</f>
        <v/>
      </c>
      <c r="AB5">
        <f>HYPERLINK("https://klasma.github.io/Logging_0486/tillsyn/A 41222-2025 tillsynsbegäran.docx", "A 41222-2025")</f>
        <v/>
      </c>
      <c r="AC5">
        <f>HYPERLINK("https://klasma.github.io/Logging_0486/tillsynsmail/A 41222-2025 tillsynsbegäran mail.docx", "A 41222-2025")</f>
        <v/>
      </c>
      <c r="AD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HYPERLINK("https://klasma.github.io/Logging_0486/kartor_geotiff/A 57157-2021 georefererad karta.tif", "A 57157-2021")</f>
        <v/>
      </c>
      <c r="Y6">
        <f>HYPERLINK("https://klasma.github.io/Logging_0486/knärot/A 57157-2021 karta knärot.png", "A 57157-2021")</f>
        <v/>
      </c>
      <c r="Z6">
        <f>HYPERLINK("https://klasma.github.io/Logging_0486/klagomål/A 57157-2021 FSC-klagomål.docx", "A 57157-2021")</f>
        <v/>
      </c>
      <c r="AA6">
        <f>HYPERLINK("https://klasma.github.io/Logging_0486/klagomålsmail/A 57157-2021 FSC-klagomål mail.docx", "A 57157-2021")</f>
        <v/>
      </c>
      <c r="AB6">
        <f>HYPERLINK("https://klasma.github.io/Logging_0486/tillsyn/A 57157-2021 tillsynsbegäran.docx", "A 57157-2021")</f>
        <v/>
      </c>
      <c r="AC6">
        <f>HYPERLINK("https://klasma.github.io/Logging_0486/tillsynsmail/A 57157-2021 tillsynsbegäran mail.docx", "A 57157-2021")</f>
        <v/>
      </c>
      <c r="AD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46223</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X7">
        <f>HYPERLINK("https://klasma.github.io/Logging_0486/kartor_geotiff/A 42335-2025 georefererad karta.tif", "A 42335-2025")</f>
        <v/>
      </c>
      <c r="Z7">
        <f>HYPERLINK("https://klasma.github.io/Logging_0486/klagomål/A 42335-2025 FSC-klagomål.docx", "A 42335-2025")</f>
        <v/>
      </c>
      <c r="AA7">
        <f>HYPERLINK("https://klasma.github.io/Logging_0486/klagomålsmail/A 42335-2025 FSC-klagomål mail.docx", "A 42335-2025")</f>
        <v/>
      </c>
      <c r="AB7">
        <f>HYPERLINK("https://klasma.github.io/Logging_0486/tillsyn/A 42335-2025 tillsynsbegäran.docx", "A 42335-2025")</f>
        <v/>
      </c>
      <c r="AC7">
        <f>HYPERLINK("https://klasma.github.io/Logging_0486/tillsynsmail/A 42335-2025 tillsynsbegäran mail.docx", "A 42335-2025")</f>
        <v/>
      </c>
      <c r="AD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46223</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X8">
        <f>HYPERLINK("https://klasma.github.io/Logging_0486/kartor_geotiff/A 13012-2022 georefererad karta.tif", "A 13012-2022")</f>
        <v/>
      </c>
      <c r="Z8">
        <f>HYPERLINK("https://klasma.github.io/Logging_0486/klagomål/A 13012-2022 FSC-klagomål.docx", "A 13012-2022")</f>
        <v/>
      </c>
      <c r="AA8">
        <f>HYPERLINK("https://klasma.github.io/Logging_0486/klagomålsmail/A 13012-2022 FSC-klagomål mail.docx", "A 13012-2022")</f>
        <v/>
      </c>
      <c r="AB8">
        <f>HYPERLINK("https://klasma.github.io/Logging_0486/tillsyn/A 13012-2022 tillsynsbegäran.docx", "A 13012-2022")</f>
        <v/>
      </c>
      <c r="AC8">
        <f>HYPERLINK("https://klasma.github.io/Logging_0486/tillsynsmail/A 13012-2022 tillsynsbegäran mail.docx", "A 13012-2022")</f>
        <v/>
      </c>
      <c r="AD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46223</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HYPERLINK("https://klasma.github.io/Logging_0486/kartor_geotiff/A 6570-2023 georefererad karta.tif", "A 6570-2023")</f>
        <v/>
      </c>
      <c r="Y9">
        <f>HYPERLINK("https://klasma.github.io/Logging_0486/knärot/A 6570-2023 karta knärot.png", "A 6570-2023")</f>
        <v/>
      </c>
      <c r="Z9">
        <f>HYPERLINK("https://klasma.github.io/Logging_0486/klagomål/A 6570-2023 FSC-klagomål.docx", "A 6570-2023")</f>
        <v/>
      </c>
      <c r="AA9">
        <f>HYPERLINK("https://klasma.github.io/Logging_0486/klagomålsmail/A 6570-2023 FSC-klagomål mail.docx", "A 6570-2023")</f>
        <v/>
      </c>
      <c r="AB9">
        <f>HYPERLINK("https://klasma.github.io/Logging_0486/tillsyn/A 6570-2023 tillsynsbegäran.docx", "A 6570-2023")</f>
        <v/>
      </c>
      <c r="AC9">
        <f>HYPERLINK("https://klasma.github.io/Logging_0486/tillsynsmail/A 6570-2023 tillsynsbegäran mail.docx", "A 6570-2023")</f>
        <v/>
      </c>
      <c r="AD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X10">
        <f>HYPERLINK("https://klasma.github.io/Logging_0486/kartor_geotiff/A 43388-2022 georefererad karta.tif", "A 43388-2022")</f>
        <v/>
      </c>
      <c r="Z10">
        <f>HYPERLINK("https://klasma.github.io/Logging_0486/klagomål/A 43388-2022 FSC-klagomål.docx", "A 43388-2022")</f>
        <v/>
      </c>
      <c r="AA10">
        <f>HYPERLINK("https://klasma.github.io/Logging_0486/klagomålsmail/A 43388-2022 FSC-klagomål mail.docx", "A 43388-2022")</f>
        <v/>
      </c>
      <c r="AB10">
        <f>HYPERLINK("https://klasma.github.io/Logging_0486/tillsyn/A 43388-2022 tillsynsbegäran.docx", "A 43388-2022")</f>
        <v/>
      </c>
      <c r="AC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X11">
        <f>HYPERLINK("https://klasma.github.io/Logging_0486/kartor_geotiff/A 12671-2022 georefererad karta.tif", "A 12671-2022")</f>
        <v/>
      </c>
      <c r="Z11">
        <f>HYPERLINK("https://klasma.github.io/Logging_0486/klagomål/A 12671-2022 FSC-klagomål.docx", "A 12671-2022")</f>
        <v/>
      </c>
      <c r="AA11">
        <f>HYPERLINK("https://klasma.github.io/Logging_0486/klagomålsmail/A 12671-2022 FSC-klagomål mail.docx", "A 12671-2022")</f>
        <v/>
      </c>
      <c r="AB11">
        <f>HYPERLINK("https://klasma.github.io/Logging_0486/tillsyn/A 12671-2022 tillsynsbegäran.docx", "A 12671-2022")</f>
        <v/>
      </c>
      <c r="AC11">
        <f>HYPERLINK("https://klasma.github.io/Logging_0486/tillsynsmail/A 12671-2022 tillsynsbegäran mail.docx", "A 12671-2022")</f>
        <v/>
      </c>
      <c r="AD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X12">
        <f>HYPERLINK("https://klasma.github.io/Logging_0486/kartor_geotiff/A 8998-2025 georefererad karta.tif", "A 8998-2025")</f>
        <v/>
      </c>
      <c r="Z12">
        <f>HYPERLINK("https://klasma.github.io/Logging_0486/klagomål/A 8998-2025 FSC-klagomål.docx", "A 8998-2025")</f>
        <v/>
      </c>
      <c r="AA12">
        <f>HYPERLINK("https://klasma.github.io/Logging_0486/klagomålsmail/A 8998-2025 FSC-klagomål mail.docx", "A 8998-2025")</f>
        <v/>
      </c>
      <c r="AB12">
        <f>HYPERLINK("https://klasma.github.io/Logging_0486/tillsyn/A 8998-2025 tillsynsbegäran.docx", "A 8998-2025")</f>
        <v/>
      </c>
      <c r="AC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HYPERLINK("https://klasma.github.io/Logging_0486/kartor_geotiff/A 59286-2025 georefererad karta.tif", "A 59286-2025")</f>
        <v/>
      </c>
      <c r="Y13">
        <f>HYPERLINK("https://klasma.github.io/Logging_0486/knärot/A 59286-2025 karta knärot.png", "A 59286-2025")</f>
        <v/>
      </c>
      <c r="Z13">
        <f>HYPERLINK("https://klasma.github.io/Logging_0486/klagomål/A 59286-2025 FSC-klagomål.docx", "A 59286-2025")</f>
        <v/>
      </c>
      <c r="AA13">
        <f>HYPERLINK("https://klasma.github.io/Logging_0486/klagomålsmail/A 59286-2025 FSC-klagomål mail.docx", "A 59286-2025")</f>
        <v/>
      </c>
      <c r="AB13">
        <f>HYPERLINK("https://klasma.github.io/Logging_0486/tillsyn/A 59286-2025 tillsynsbegäran.docx", "A 59286-2025")</f>
        <v/>
      </c>
      <c r="AC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46223</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X14">
        <f>HYPERLINK("https://klasma.github.io/Logging_0486/kartor_geotiff/A 48926-2021 georefererad karta.tif", "A 48926-2021")</f>
        <v/>
      </c>
      <c r="Z14">
        <f>HYPERLINK("https://klasma.github.io/Logging_0486/klagomål/A 48926-2021 FSC-klagomål.docx", "A 48926-2021")</f>
        <v/>
      </c>
      <c r="AA14">
        <f>HYPERLINK("https://klasma.github.io/Logging_0486/klagomålsmail/A 48926-2021 FSC-klagomål mail.docx", "A 48926-2021")</f>
        <v/>
      </c>
      <c r="AB14">
        <f>HYPERLINK("https://klasma.github.io/Logging_0486/tillsyn/A 48926-2021 tillsynsbegäran.docx", "A 48926-2021")</f>
        <v/>
      </c>
      <c r="AC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46223</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X15">
        <f>HYPERLINK("https://klasma.github.io/Logging_0486/kartor_geotiff/A 44495-2022 georefererad karta.tif", "A 44495-2022")</f>
        <v/>
      </c>
      <c r="Z15">
        <f>HYPERLINK("https://klasma.github.io/Logging_0486/klagomål/A 44495-2022 FSC-klagomål.docx", "A 44495-2022")</f>
        <v/>
      </c>
      <c r="AA15">
        <f>HYPERLINK("https://klasma.github.io/Logging_0486/klagomålsmail/A 44495-2022 FSC-klagomål mail.docx", "A 44495-2022")</f>
        <v/>
      </c>
      <c r="AB15">
        <f>HYPERLINK("https://klasma.github.io/Logging_0486/tillsyn/A 44495-2022 tillsynsbegäran.docx", "A 44495-2022")</f>
        <v/>
      </c>
      <c r="AC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46223</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X16">
        <f>HYPERLINK("https://klasma.github.io/Logging_0486/kartor_geotiff/A 2493-2022 georefererad karta.tif", "A 2493-2022")</f>
        <v/>
      </c>
      <c r="Z16">
        <f>HYPERLINK("https://klasma.github.io/Logging_0486/klagomål/A 2493-2022 FSC-klagomål.docx", "A 2493-2022")</f>
        <v/>
      </c>
      <c r="AA16">
        <f>HYPERLINK("https://klasma.github.io/Logging_0486/klagomålsmail/A 2493-2022 FSC-klagomål mail.docx", "A 2493-2022")</f>
        <v/>
      </c>
      <c r="AB16">
        <f>HYPERLINK("https://klasma.github.io/Logging_0486/tillsyn/A 2493-2022 tillsynsbegäran.docx", "A 2493-2022")</f>
        <v/>
      </c>
      <c r="AC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46223</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X17">
        <f>HYPERLINK("https://klasma.github.io/Logging_0486/kartor_geotiff/A 21966-2022 georefererad karta.tif", "A 21966-2022")</f>
        <v/>
      </c>
      <c r="Z17">
        <f>HYPERLINK("https://klasma.github.io/Logging_0486/klagomål/A 21966-2022 FSC-klagomål.docx", "A 21966-2022")</f>
        <v/>
      </c>
      <c r="AA17">
        <f>HYPERLINK("https://klasma.github.io/Logging_0486/klagomålsmail/A 21966-2022 FSC-klagomål mail.docx", "A 21966-2022")</f>
        <v/>
      </c>
      <c r="AB17">
        <f>HYPERLINK("https://klasma.github.io/Logging_0486/tillsyn/A 21966-2022 tillsynsbegäran.docx", "A 21966-2022")</f>
        <v/>
      </c>
      <c r="AC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46223</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X18">
        <f>HYPERLINK("https://klasma.github.io/Logging_0486/kartor_geotiff/A 68905-2021 georefererad karta.tif", "A 68905-2021")</f>
        <v/>
      </c>
      <c r="Z18">
        <f>HYPERLINK("https://klasma.github.io/Logging_0486/klagomål/A 68905-2021 FSC-klagomål.docx", "A 68905-2021")</f>
        <v/>
      </c>
      <c r="AA18">
        <f>HYPERLINK("https://klasma.github.io/Logging_0486/klagomålsmail/A 68905-2021 FSC-klagomål mail.docx", "A 68905-2021")</f>
        <v/>
      </c>
      <c r="AB18">
        <f>HYPERLINK("https://klasma.github.io/Logging_0486/tillsyn/A 68905-2021 tillsynsbegäran.docx", "A 68905-2021")</f>
        <v/>
      </c>
      <c r="AC18">
        <f>HYPERLINK("https://klasma.github.io/Logging_0486/tillsynsmail/A 68905-2021 tillsynsbegäran mail.docx", "A 68905-2021")</f>
        <v/>
      </c>
      <c r="AD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46223</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X19">
        <f>HYPERLINK("https://klasma.github.io/Logging_0486/kartor_geotiff/A 36799-2025 georefererad karta.tif", "A 36799-2025")</f>
        <v/>
      </c>
      <c r="Z19">
        <f>HYPERLINK("https://klasma.github.io/Logging_0486/klagomål/A 36799-2025 FSC-klagomål.docx", "A 36799-2025")</f>
        <v/>
      </c>
      <c r="AA19">
        <f>HYPERLINK("https://klasma.github.io/Logging_0486/klagomålsmail/A 36799-2025 FSC-klagomål mail.docx", "A 36799-2025")</f>
        <v/>
      </c>
      <c r="AB19">
        <f>HYPERLINK("https://klasma.github.io/Logging_0486/tillsyn/A 36799-2025 tillsynsbegäran.docx", "A 36799-2025")</f>
        <v/>
      </c>
      <c r="AC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46223</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X20">
        <f>HYPERLINK("https://klasma.github.io/Logging_0486/kartor_geotiff/A 49759-2025 georefererad karta.tif", "A 49759-2025")</f>
        <v/>
      </c>
      <c r="Z20">
        <f>HYPERLINK("https://klasma.github.io/Logging_0486/klagomål/A 49759-2025 FSC-klagomål.docx", "A 49759-2025")</f>
        <v/>
      </c>
      <c r="AA20">
        <f>HYPERLINK("https://klasma.github.io/Logging_0486/klagomålsmail/A 49759-2025 FSC-klagomål mail.docx", "A 49759-2025")</f>
        <v/>
      </c>
      <c r="AB20">
        <f>HYPERLINK("https://klasma.github.io/Logging_0486/tillsyn/A 49759-2025 tillsynsbegäran.docx", "A 49759-2025")</f>
        <v/>
      </c>
      <c r="AC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46223</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HYPERLINK("https://klasma.github.io/Logging_0486/kartor_geotiff/A 52999-2025 georefererad karta.tif", "A 52999-2025")</f>
        <v/>
      </c>
      <c r="Y21">
        <f>HYPERLINK("https://klasma.github.io/Logging_0486/knärot/A 52999-2025 karta knärot.png", "A 52999-2025")</f>
        <v/>
      </c>
      <c r="Z21">
        <f>HYPERLINK("https://klasma.github.io/Logging_0486/klagomål/A 52999-2025 FSC-klagomål.docx", "A 52999-2025")</f>
        <v/>
      </c>
      <c r="AA21">
        <f>HYPERLINK("https://klasma.github.io/Logging_0486/klagomålsmail/A 52999-2025 FSC-klagomål mail.docx", "A 52999-2025")</f>
        <v/>
      </c>
      <c r="AB21">
        <f>HYPERLINK("https://klasma.github.io/Logging_0486/tillsyn/A 52999-2025 tillsynsbegäran.docx", "A 52999-2025")</f>
        <v/>
      </c>
      <c r="AC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46223</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X22">
        <f>HYPERLINK("https://klasma.github.io/Logging_0486/kartor_geotiff/A 24688-2026 georefererad karta.tif", "A 24688-2026")</f>
        <v/>
      </c>
      <c r="Z22">
        <f>HYPERLINK("https://klasma.github.io/Logging_0486/klagomål/A 24688-2026 FSC-klagomål.docx", "A 24688-2026")</f>
        <v/>
      </c>
      <c r="AA22">
        <f>HYPERLINK("https://klasma.github.io/Logging_0486/klagomålsmail/A 24688-2026 FSC-klagomål mail.docx", "A 24688-2026")</f>
        <v/>
      </c>
      <c r="AB22">
        <f>HYPERLINK("https://klasma.github.io/Logging_0486/tillsyn/A 24688-2026 tillsynsbegäran.docx", "A 24688-2026")</f>
        <v/>
      </c>
      <c r="AC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46223</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X23">
        <f>HYPERLINK("https://klasma.github.io/Logging_0486/kartor_geotiff/S 5673-2022 georefererad karta.tif", "S 5673-2022")</f>
        <v/>
      </c>
      <c r="Z23">
        <f>HYPERLINK("https://klasma.github.io/Logging_0486/klagomål/S 5673-2022 FSC-klagomål.docx", "S 5673-2022")</f>
        <v/>
      </c>
      <c r="AA23">
        <f>HYPERLINK("https://klasma.github.io/Logging_0486/klagomålsmail/S 5673-2022 FSC-klagomål mail.docx", "S 5673-2022")</f>
        <v/>
      </c>
      <c r="AB23">
        <f>HYPERLINK("https://klasma.github.io/Logging_0486/tillsyn/S 5673-2022 tillsynsbegäran.docx", "S 5673-2022")</f>
        <v/>
      </c>
      <c r="AC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46223</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X24">
        <f>HYPERLINK("https://klasma.github.io/Logging_0486/kartor_geotiff/A 44717-2022 georefererad karta.tif", "A 44717-2022")</f>
        <v/>
      </c>
      <c r="Z24">
        <f>HYPERLINK("https://klasma.github.io/Logging_0486/klagomål/A 44717-2022 FSC-klagomål.docx", "A 44717-2022")</f>
        <v/>
      </c>
      <c r="AA24">
        <f>HYPERLINK("https://klasma.github.io/Logging_0486/klagomålsmail/A 44717-2022 FSC-klagomål mail.docx", "A 44717-2022")</f>
        <v/>
      </c>
      <c r="AB24">
        <f>HYPERLINK("https://klasma.github.io/Logging_0486/tillsyn/A 44717-2022 tillsynsbegäran.docx", "A 44717-2022")</f>
        <v/>
      </c>
      <c r="AC24">
        <f>HYPERLINK("https://klasma.github.io/Logging_0486/tillsynsmail/A 44717-2022 tillsynsbegäran mail.docx", "A 44717-2022")</f>
        <v/>
      </c>
      <c r="AD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46223</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s="2" t="inlineStr">
        <is>
          <t>Älg
Tjäder</t>
        </is>
      </c>
      <c r="V25">
        <f>HYPERLINK("https://klasma.github.io/Logging_0486/artfynd/A 1819-2022 artfynd.xlsx", "A 1819-2022")</f>
        <v/>
      </c>
      <c r="W25">
        <f>HYPERLINK("https://klasma.github.io/Logging_0486/kartor/A 1819-2022 karta.png", "A 1819-2022")</f>
        <v/>
      </c>
      <c r="X25">
        <f>HYPERLINK("https://klasma.github.io/Logging_0486/kartor_geotiff/A 1819-2022 georefererad karta.tif", "A 1819-2022")</f>
        <v/>
      </c>
      <c r="Z25">
        <f>HYPERLINK("https://klasma.github.io/Logging_0486/klagomål/A 1819-2022 FSC-klagomål.docx", "A 1819-2022")</f>
        <v/>
      </c>
      <c r="AA25">
        <f>HYPERLINK("https://klasma.github.io/Logging_0486/klagomålsmail/A 1819-2022 FSC-klagomål mail.docx", "A 1819-2022")</f>
        <v/>
      </c>
      <c r="AB25">
        <f>HYPERLINK("https://klasma.github.io/Logging_0486/tillsyn/A 1819-2022 tillsynsbegäran.docx", "A 1819-2022")</f>
        <v/>
      </c>
      <c r="AC25">
        <f>HYPERLINK("https://klasma.github.io/Logging_0486/tillsynsmail/A 1819-2022 tillsynsbegäran mail.docx", "A 1819-2022")</f>
        <v/>
      </c>
      <c r="AD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46223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s="2" t="inlineStr">
        <is>
          <t>Blåmossa
Spillkråka</t>
        </is>
      </c>
      <c r="V26">
        <f>HYPERLINK("https://klasma.github.io/Logging_0486/artfynd/A 60143-2024 artfynd.xlsx", "A 60143-2024")</f>
        <v/>
      </c>
      <c r="W26">
        <f>HYPERLINK("https://klasma.github.io/Logging_0486/kartor/A 60143-2024 karta.png", "A 60143-2024")</f>
        <v/>
      </c>
      <c r="X26">
        <f>HYPERLINK("https://klasma.github.io/Logging_0486/kartor_geotiff/A 60143-2024 georefererad karta.tif", "A 60143-2024")</f>
        <v/>
      </c>
      <c r="Z26">
        <f>HYPERLINK("https://klasma.github.io/Logging_0486/klagomål/A 60143-2024 FSC-klagomål.docx", "A 60143-2024")</f>
        <v/>
      </c>
      <c r="AA26">
        <f>HYPERLINK("https://klasma.github.io/Logging_0486/klagomålsmail/A 60143-2024 FSC-klagomål mail.docx", "A 60143-2024")</f>
        <v/>
      </c>
      <c r="AB26">
        <f>HYPERLINK("https://klasma.github.io/Logging_0486/tillsyn/A 60143-2024 tillsynsbegäran.docx", "A 60143-2024")</f>
        <v/>
      </c>
      <c r="AC26">
        <f>HYPERLINK("https://klasma.github.io/Logging_0486/tillsynsmail/A 60143-2024 tillsynsbegäran mail.docx", "A 60143-2024")</f>
        <v/>
      </c>
      <c r="AD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46223</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s="2" t="inlineStr">
        <is>
          <t>Ask
Åkergroda</t>
        </is>
      </c>
      <c r="V27">
        <f>HYPERLINK("https://klasma.github.io/Logging_0486/artfynd/A 40560-2025 artfynd.xlsx", "A 40560-2025")</f>
        <v/>
      </c>
      <c r="W27">
        <f>HYPERLINK("https://klasma.github.io/Logging_0486/kartor/A 40560-2025 karta.png", "A 40560-2025")</f>
        <v/>
      </c>
      <c r="X27">
        <f>HYPERLINK("https://klasma.github.io/Logging_0486/kartor_geotiff/A 40560-2025 georefererad karta.tif", "A 40560-2025")</f>
        <v/>
      </c>
      <c r="Z27">
        <f>HYPERLINK("https://klasma.github.io/Logging_0486/klagomål/A 40560-2025 FSC-klagomål.docx", "A 40560-2025")</f>
        <v/>
      </c>
      <c r="AA27">
        <f>HYPERLINK("https://klasma.github.io/Logging_0486/klagomålsmail/A 40560-2025 FSC-klagomål mail.docx", "A 40560-2025")</f>
        <v/>
      </c>
      <c r="AB27">
        <f>HYPERLINK("https://klasma.github.io/Logging_0486/tillsyn/A 40560-2025 tillsynsbegäran.docx", "A 40560-2025")</f>
        <v/>
      </c>
      <c r="AC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46223</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s="2" t="inlineStr">
        <is>
          <t>Skogsduva
Törnskata</t>
        </is>
      </c>
      <c r="V28">
        <f>HYPERLINK("https://klasma.github.io/Logging_0486/artfynd/A 45669-2022 artfynd.xlsx", "A 45669-2022")</f>
        <v/>
      </c>
      <c r="W28">
        <f>HYPERLINK("https://klasma.github.io/Logging_0486/kartor/A 45669-2022 karta.png", "A 45669-2022")</f>
        <v/>
      </c>
      <c r="X28">
        <f>HYPERLINK("https://klasma.github.io/Logging_0486/kartor_geotiff/A 45669-2022 georefererad karta.tif", "A 45669-2022")</f>
        <v/>
      </c>
      <c r="Z28">
        <f>HYPERLINK("https://klasma.github.io/Logging_0486/klagomål/A 45669-2022 FSC-klagomål.docx", "A 45669-2022")</f>
        <v/>
      </c>
      <c r="AA28">
        <f>HYPERLINK("https://klasma.github.io/Logging_0486/klagomålsmail/A 45669-2022 FSC-klagomål mail.docx", "A 45669-2022")</f>
        <v/>
      </c>
      <c r="AB28">
        <f>HYPERLINK("https://klasma.github.io/Logging_0486/tillsyn/A 45669-2022 tillsynsbegäran.docx", "A 45669-2022")</f>
        <v/>
      </c>
      <c r="AC28">
        <f>HYPERLINK("https://klasma.github.io/Logging_0486/tillsynsmail/A 45669-2022 tillsynsbegäran mail.docx", "A 45669-2022")</f>
        <v/>
      </c>
      <c r="AD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46223</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s="2" t="inlineStr">
        <is>
          <t>Rördrom
Trana</t>
        </is>
      </c>
      <c r="V29">
        <f>HYPERLINK("https://klasma.github.io/Logging_0486/artfynd/A 22577-2026 artfynd.xlsx", "A 22577-2026")</f>
        <v/>
      </c>
      <c r="W29">
        <f>HYPERLINK("https://klasma.github.io/Logging_0486/kartor/A 22577-2026 karta.png", "A 22577-2026")</f>
        <v/>
      </c>
      <c r="X29">
        <f>HYPERLINK("https://klasma.github.io/Logging_0486/kartor_geotiff/A 22577-2026 georefererad karta.tif", "A 22577-2026")</f>
        <v/>
      </c>
      <c r="Z29">
        <f>HYPERLINK("https://klasma.github.io/Logging_0486/klagomål/A 22577-2026 FSC-klagomål.docx", "A 22577-2026")</f>
        <v/>
      </c>
      <c r="AA29">
        <f>HYPERLINK("https://klasma.github.io/Logging_0486/klagomålsmail/A 22577-2026 FSC-klagomål mail.docx", "A 22577-2026")</f>
        <v/>
      </c>
      <c r="AB29">
        <f>HYPERLINK("https://klasma.github.io/Logging_0486/tillsyn/A 22577-2026 tillsynsbegäran.docx", "A 22577-2026")</f>
        <v/>
      </c>
      <c r="AC29">
        <f>HYPERLINK("https://klasma.github.io/Logging_0486/tillsynsmail/A 22577-2026 tillsynsbegäran mail.docx", "A 22577-2026")</f>
        <v/>
      </c>
      <c r="AD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46223</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X30">
        <f>HYPERLINK("https://klasma.github.io/Logging_0486/kartor_geotiff/A 10841-2026 georefererad karta.tif", "A 10841-2026")</f>
        <v/>
      </c>
      <c r="Z30">
        <f>HYPERLINK("https://klasma.github.io/Logging_0486/klagomål/A 10841-2026 FSC-klagomål.docx", "A 10841-2026")</f>
        <v/>
      </c>
      <c r="AA30">
        <f>HYPERLINK("https://klasma.github.io/Logging_0486/klagomålsmail/A 10841-2026 FSC-klagomål mail.docx", "A 10841-2026")</f>
        <v/>
      </c>
      <c r="AB30">
        <f>HYPERLINK("https://klasma.github.io/Logging_0486/tillsyn/A 10841-2026 tillsynsbegäran.docx", "A 10841-2026")</f>
        <v/>
      </c>
      <c r="AC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46223</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X31">
        <f>HYPERLINK("https://klasma.github.io/Logging_0486/kartor_geotiff/A 24683-2026 georefererad karta.tif", "A 24683-2026")</f>
        <v/>
      </c>
      <c r="Z31">
        <f>HYPERLINK("https://klasma.github.io/Logging_0486/klagomål/A 24683-2026 FSC-klagomål.docx", "A 24683-2026")</f>
        <v/>
      </c>
      <c r="AA31">
        <f>HYPERLINK("https://klasma.github.io/Logging_0486/klagomålsmail/A 24683-2026 FSC-klagomål mail.docx", "A 24683-2026")</f>
        <v/>
      </c>
      <c r="AB31">
        <f>HYPERLINK("https://klasma.github.io/Logging_0486/tillsyn/A 24683-2026 tillsynsbegäran.docx", "A 24683-2026")</f>
        <v/>
      </c>
      <c r="AC31">
        <f>HYPERLINK("https://klasma.github.io/Logging_0486/tillsynsmail/A 24683-2026 tillsynsbegäran mail.docx", "A 24683-2026")</f>
        <v/>
      </c>
      <c r="AD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46223</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X32">
        <f>HYPERLINK("https://klasma.github.io/Logging_0486/kartor_geotiff/S 165-2024 georefererad karta.tif", "S 165-2024")</f>
        <v/>
      </c>
      <c r="Z32">
        <f>HYPERLINK("https://klasma.github.io/Logging_0486/klagomål/S 165-2024 FSC-klagomål.docx", "S 165-2024")</f>
        <v/>
      </c>
      <c r="AA32">
        <f>HYPERLINK("https://klasma.github.io/Logging_0486/klagomålsmail/S 165-2024 FSC-klagomål mail.docx", "S 165-2024")</f>
        <v/>
      </c>
      <c r="AB32">
        <f>HYPERLINK("https://klasma.github.io/Logging_0486/tillsyn/S 165-2024 tillsynsbegäran.docx", "S 165-2024")</f>
        <v/>
      </c>
      <c r="AC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46223</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X33">
        <f>HYPERLINK("https://klasma.github.io/Logging_0486/kartor_geotiff/S 40-2026 georefererad karta.tif", "S 40-2026")</f>
        <v/>
      </c>
      <c r="Z33">
        <f>HYPERLINK("https://klasma.github.io/Logging_0486/klagomål/S 40-2026 FSC-klagomål.docx", "S 40-2026")</f>
        <v/>
      </c>
      <c r="AA33">
        <f>HYPERLINK("https://klasma.github.io/Logging_0486/klagomålsmail/S 40-2026 FSC-klagomål mail.docx", "S 40-2026")</f>
        <v/>
      </c>
      <c r="AB33">
        <f>HYPERLINK("https://klasma.github.io/Logging_0486/tillsyn/S 40-2026 tillsynsbegäran.docx", "S 40-2026")</f>
        <v/>
      </c>
      <c r="AC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46223</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X34">
        <f>HYPERLINK("https://klasma.github.io/Logging_0486/kartor_geotiff/S 1445-2026 georefererad karta.tif", "S 1445-2026")</f>
        <v/>
      </c>
      <c r="Z34">
        <f>HYPERLINK("https://klasma.github.io/Logging_0486/klagomål/S 1445-2026 FSC-klagomål.docx", "S 1445-2026")</f>
        <v/>
      </c>
      <c r="AA34">
        <f>HYPERLINK("https://klasma.github.io/Logging_0486/klagomålsmail/S 1445-2026 FSC-klagomål mail.docx", "S 1445-2026")</f>
        <v/>
      </c>
      <c r="AB34">
        <f>HYPERLINK("https://klasma.github.io/Logging_0486/tillsyn/S 1445-2026 tillsynsbegäran.docx", "S 1445-2026")</f>
        <v/>
      </c>
      <c r="AC34">
        <f>HYPERLINK("https://klasma.github.io/Logging_0486/tillsynsmail/S 1445-2026 tillsynsbegäran mail.docx", "S 1445-2026")</f>
        <v/>
      </c>
      <c r="AD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46223</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X35">
        <f>HYPERLINK("https://klasma.github.io/Logging_0486/kartor_geotiff/A 65330-2021 georefererad karta.tif", "A 65330-2021")</f>
        <v/>
      </c>
      <c r="Z35">
        <f>HYPERLINK("https://klasma.github.io/Logging_0486/klagomål/A 65330-2021 FSC-klagomål.docx", "A 65330-2021")</f>
        <v/>
      </c>
      <c r="AA35">
        <f>HYPERLINK("https://klasma.github.io/Logging_0486/klagomålsmail/A 65330-2021 FSC-klagomål mail.docx", "A 65330-2021")</f>
        <v/>
      </c>
      <c r="AB35">
        <f>HYPERLINK("https://klasma.github.io/Logging_0486/tillsyn/A 65330-2021 tillsynsbegäran.docx", "A 65330-2021")</f>
        <v/>
      </c>
      <c r="AC35">
        <f>HYPERLINK("https://klasma.github.io/Logging_0486/tillsynsmail/A 65330-2021 tillsynsbegäran mail.docx", "A 65330-2021")</f>
        <v/>
      </c>
      <c r="AD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46223</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X36">
        <f>HYPERLINK("https://klasma.github.io/Logging_0486/kartor_geotiff/A 21317-2022 georefererad karta.tif", "A 21317-2022")</f>
        <v/>
      </c>
      <c r="Z36">
        <f>HYPERLINK("https://klasma.github.io/Logging_0486/klagomål/A 21317-2022 FSC-klagomål.docx", "A 21317-2022")</f>
        <v/>
      </c>
      <c r="AA36">
        <f>HYPERLINK("https://klasma.github.io/Logging_0486/klagomålsmail/A 21317-2022 FSC-klagomål mail.docx", "A 21317-2022")</f>
        <v/>
      </c>
      <c r="AB36">
        <f>HYPERLINK("https://klasma.github.io/Logging_0486/tillsyn/A 21317-2022 tillsynsbegäran.docx", "A 21317-2022")</f>
        <v/>
      </c>
      <c r="AC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46223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s="2" t="inlineStr">
        <is>
          <t>Blåsippa</t>
        </is>
      </c>
      <c r="V37">
        <f>HYPERLINK("https://klasma.github.io/Logging_0486/artfynd/A 50010-2023 artfynd.xlsx", "A 50010-2023")</f>
        <v/>
      </c>
      <c r="W37">
        <f>HYPERLINK("https://klasma.github.io/Logging_0486/kartor/A 50010-2023 karta.png", "A 50010-2023")</f>
        <v/>
      </c>
      <c r="X37">
        <f>HYPERLINK("https://klasma.github.io/Logging_0486/kartor_geotiff/A 50010-2023 georefererad karta.tif", "A 50010-2023")</f>
        <v/>
      </c>
      <c r="Z37">
        <f>HYPERLINK("https://klasma.github.io/Logging_0486/klagomål/A 50010-2023 FSC-klagomål.docx", "A 50010-2023")</f>
        <v/>
      </c>
      <c r="AA37">
        <f>HYPERLINK("https://klasma.github.io/Logging_0486/klagomålsmail/A 50010-2023 FSC-klagomål mail.docx", "A 50010-2023")</f>
        <v/>
      </c>
      <c r="AB37">
        <f>HYPERLINK("https://klasma.github.io/Logging_0486/tillsyn/A 50010-2023 tillsynsbegäran.docx", "A 50010-2023")</f>
        <v/>
      </c>
      <c r="AC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46223</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s="2" t="inlineStr">
        <is>
          <t>Mindre märgborre</t>
        </is>
      </c>
      <c r="V38">
        <f>HYPERLINK("https://klasma.github.io/Logging_0486/artfynd/A 52320-2023 artfynd.xlsx", "A 52320-2023")</f>
        <v/>
      </c>
      <c r="W38">
        <f>HYPERLINK("https://klasma.github.io/Logging_0486/kartor/A 52320-2023 karta.png", "A 52320-2023")</f>
        <v/>
      </c>
      <c r="X38">
        <f>HYPERLINK("https://klasma.github.io/Logging_0486/kartor_geotiff/A 52320-2023 georefererad karta.tif", "A 52320-2023")</f>
        <v/>
      </c>
      <c r="Z38">
        <f>HYPERLINK("https://klasma.github.io/Logging_0486/klagomål/A 52320-2023 FSC-klagomål.docx", "A 52320-2023")</f>
        <v/>
      </c>
      <c r="AA38">
        <f>HYPERLINK("https://klasma.github.io/Logging_0486/klagomålsmail/A 52320-2023 FSC-klagomål mail.docx", "A 52320-2023")</f>
        <v/>
      </c>
      <c r="AB38">
        <f>HYPERLINK("https://klasma.github.io/Logging_0486/tillsyn/A 52320-2023 tillsynsbegäran.docx", "A 52320-2023")</f>
        <v/>
      </c>
      <c r="AC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46223</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s="2" t="inlineStr">
        <is>
          <t>Tallticka</t>
        </is>
      </c>
      <c r="V39">
        <f>HYPERLINK("https://klasma.github.io/Logging_0486/artfynd/A 41511-2022 artfynd.xlsx", "A 41511-2022")</f>
        <v/>
      </c>
      <c r="W39">
        <f>HYPERLINK("https://klasma.github.io/Logging_0486/kartor/A 41511-2022 karta.png", "A 41511-2022")</f>
        <v/>
      </c>
      <c r="X39">
        <f>HYPERLINK("https://klasma.github.io/Logging_0486/kartor_geotiff/A 41511-2022 georefererad karta.tif", "A 41511-2022")</f>
        <v/>
      </c>
      <c r="Z39">
        <f>HYPERLINK("https://klasma.github.io/Logging_0486/klagomål/A 41511-2022 FSC-klagomål.docx", "A 41511-2022")</f>
        <v/>
      </c>
      <c r="AA39">
        <f>HYPERLINK("https://klasma.github.io/Logging_0486/klagomålsmail/A 41511-2022 FSC-klagomål mail.docx", "A 41511-2022")</f>
        <v/>
      </c>
      <c r="AB39">
        <f>HYPERLINK("https://klasma.github.io/Logging_0486/tillsyn/A 41511-2022 tillsynsbegäran.docx", "A 41511-2022")</f>
        <v/>
      </c>
      <c r="AC39">
        <f>HYPERLINK("https://klasma.github.io/Logging_0486/tillsynsmail/A 41511-2022 tillsynsbegäran mail.docx", "A 41511-2022")</f>
        <v/>
      </c>
    </row>
    <row r="40" ht="15" customHeight="1">
      <c r="A40" t="inlineStr">
        <is>
          <t>A 43391-2025</t>
        </is>
      </c>
      <c r="B40" t="inlineStr">
        <is>
          <t>avverkningsanmälan</t>
        </is>
      </c>
      <c r="C40" t="inlineStr">
        <is>
          <t>Föryngringsavverkning</t>
        </is>
      </c>
      <c r="D40" s="1" t="n">
        <v>45911</v>
      </c>
      <c r="E40" s="1" t="n">
        <v>46223</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s="2" t="inlineStr">
        <is>
          <t>Göktyta</t>
        </is>
      </c>
      <c r="V40">
        <f>HYPERLINK("https://klasma.github.io/Logging_0486/artfynd/A 43391-2025 artfynd.xlsx", "A 43391-2025")</f>
        <v/>
      </c>
      <c r="W40">
        <f>HYPERLINK("https://klasma.github.io/Logging_0486/kartor/A 43391-2025 karta.png", "A 43391-2025")</f>
        <v/>
      </c>
      <c r="X40">
        <f>HYPERLINK("https://klasma.github.io/Logging_0486/kartor_geotiff/A 43391-2025 georefererad karta.tif", "A 43391-2025")</f>
        <v/>
      </c>
      <c r="Z40">
        <f>HYPERLINK("https://klasma.github.io/Logging_0486/klagomål/A 43391-2025 FSC-klagomål.docx", "A 43391-2025")</f>
        <v/>
      </c>
      <c r="AA40">
        <f>HYPERLINK("https://klasma.github.io/Logging_0486/klagomålsmail/A 43391-2025 FSC-klagomål mail.docx", "A 43391-2025")</f>
        <v/>
      </c>
      <c r="AB40">
        <f>HYPERLINK("https://klasma.github.io/Logging_0486/tillsyn/A 43391-2025 tillsynsbegäran.docx", "A 43391-2025")</f>
        <v/>
      </c>
      <c r="AC40">
        <f>HYPERLINK("https://klasma.github.io/Logging_0486/tillsynsmail/A 43391-2025 tillsynsbegäran mail.docx", "A 43391-2025")</f>
        <v/>
      </c>
      <c r="AD40">
        <f>HYPERLINK("https://klasma.github.io/Logging_0486/fåglar/A 43391-2025 prioriterade fågelarter.docx", "A 43391-2025")</f>
        <v/>
      </c>
    </row>
    <row r="41" ht="15" customHeight="1">
      <c r="A41" t="inlineStr">
        <is>
          <t>A 692-2023</t>
        </is>
      </c>
      <c r="B41" t="inlineStr">
        <is>
          <t>avverkningsanmälan</t>
        </is>
      </c>
      <c r="C41" t="inlineStr">
        <is>
          <t>Föryngringsavverkning</t>
        </is>
      </c>
      <c r="D41" s="1" t="n">
        <v>44930</v>
      </c>
      <c r="E41" s="1" t="n">
        <v>46223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s="2" t="inlineStr">
        <is>
          <t>Åttafläckig praktbagge</t>
        </is>
      </c>
      <c r="V41">
        <f>HYPERLINK("https://klasma.github.io/Logging_0486/artfynd/A 692-2023 artfynd.xlsx", "A 692-2023")</f>
        <v/>
      </c>
      <c r="W41">
        <f>HYPERLINK("https://klasma.github.io/Logging_0486/kartor/A 692-2023 karta.png", "A 692-2023")</f>
        <v/>
      </c>
      <c r="X41">
        <f>HYPERLINK("https://klasma.github.io/Logging_0486/kartor_geotiff/A 692-2023 georefererad karta.tif", "A 692-2023")</f>
        <v/>
      </c>
      <c r="Z41">
        <f>HYPERLINK("https://klasma.github.io/Logging_0486/klagomål/A 692-2023 FSC-klagomål.docx", "A 692-2023")</f>
        <v/>
      </c>
      <c r="AA41">
        <f>HYPERLINK("https://klasma.github.io/Logging_0486/klagomålsmail/A 692-2023 FSC-klagomål mail.docx", "A 692-2023")</f>
        <v/>
      </c>
      <c r="AB41">
        <f>HYPERLINK("https://klasma.github.io/Logging_0486/tillsyn/A 692-2023 tillsynsbegäran.docx", "A 692-2023")</f>
        <v/>
      </c>
      <c r="AC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46223</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s="2" t="inlineStr">
        <is>
          <t>Knärot</t>
        </is>
      </c>
      <c r="V42">
        <f>HYPERLINK("https://klasma.github.io/Logging_0486/artfynd/A 52997-2025 artfynd.xlsx", "A 52997-2025")</f>
        <v/>
      </c>
      <c r="W42">
        <f>HYPERLINK("https://klasma.github.io/Logging_0486/kartor/A 52997-2025 karta.png", "A 52997-2025")</f>
        <v/>
      </c>
      <c r="X42">
        <f>HYPERLINK("https://klasma.github.io/Logging_0486/kartor_geotiff/A 52997-2025 georefererad karta.tif", "A 52997-2025")</f>
        <v/>
      </c>
      <c r="Y42">
        <f>HYPERLINK("https://klasma.github.io/Logging_0486/knärot/A 52997-2025 karta knärot.png", "A 52997-2025")</f>
        <v/>
      </c>
      <c r="Z42">
        <f>HYPERLINK("https://klasma.github.io/Logging_0486/klagomål/A 52997-2025 FSC-klagomål.docx", "A 52997-2025")</f>
        <v/>
      </c>
      <c r="AA42">
        <f>HYPERLINK("https://klasma.github.io/Logging_0486/klagomålsmail/A 52997-2025 FSC-klagomål mail.docx", "A 52997-2025")</f>
        <v/>
      </c>
      <c r="AB42">
        <f>HYPERLINK("https://klasma.github.io/Logging_0486/tillsyn/A 52997-2025 tillsynsbegäran.docx", "A 52997-2025")</f>
        <v/>
      </c>
      <c r="AC42">
        <f>HYPERLINK("https://klasma.github.io/Logging_0486/tillsynsmail/A 52997-2025 tillsynsbegäran mail.docx", "A 52997-2025")</f>
        <v/>
      </c>
    </row>
    <row r="43" ht="15" customHeight="1">
      <c r="A43" t="inlineStr">
        <is>
          <t>A 42345-2025</t>
        </is>
      </c>
      <c r="B43" t="inlineStr">
        <is>
          <t>avverkningsanmälan</t>
        </is>
      </c>
      <c r="C43" t="inlineStr">
        <is>
          <t>Avverkning för annat ändamål</t>
        </is>
      </c>
      <c r="D43" s="1" t="n">
        <v>45904</v>
      </c>
      <c r="E43" s="1" t="n">
        <v>46223</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s="2" t="inlineStr">
        <is>
          <t>Ask</t>
        </is>
      </c>
      <c r="V43">
        <f>HYPERLINK("https://klasma.github.io/Logging_0486/artfynd/A 42345-2025 artfynd.xlsx", "A 42345-2025")</f>
        <v/>
      </c>
      <c r="W43">
        <f>HYPERLINK("https://klasma.github.io/Logging_0486/kartor/A 42345-2025 karta.png", "A 42345-2025")</f>
        <v/>
      </c>
      <c r="X43">
        <f>HYPERLINK("https://klasma.github.io/Logging_0486/kartor_geotiff/A 42345-2025 georefererad karta.tif", "A 42345-2025")</f>
        <v/>
      </c>
      <c r="Z43">
        <f>HYPERLINK("https://klasma.github.io/Logging_0486/klagomål/A 42345-2025 FSC-klagomål.docx", "A 42345-2025")</f>
        <v/>
      </c>
      <c r="AA43">
        <f>HYPERLINK("https://klasma.github.io/Logging_0486/klagomålsmail/A 42345-2025 FSC-klagomål mail.docx", "A 42345-2025")</f>
        <v/>
      </c>
      <c r="AB43">
        <f>HYPERLINK("https://klasma.github.io/Logging_0486/tillsyn/A 42345-2025 tillsynsbegäran.docx", "A 42345-2025")</f>
        <v/>
      </c>
      <c r="AC43">
        <f>HYPERLINK("https://klasma.github.io/Logging_0486/tillsynsmail/A 42345-2025 tillsynsbegäran mail.docx", "A 42345-2025")</f>
        <v/>
      </c>
    </row>
    <row r="44" ht="15" customHeight="1">
      <c r="A44" t="inlineStr">
        <is>
          <t>A 42527-2025</t>
        </is>
      </c>
      <c r="B44" t="inlineStr">
        <is>
          <t>avverkningsanmälan</t>
        </is>
      </c>
      <c r="C44" t="inlineStr">
        <is>
          <t>Föryngringsavverkning</t>
        </is>
      </c>
      <c r="D44" s="1" t="n">
        <v>45905</v>
      </c>
      <c r="E44" s="1" t="n">
        <v>46223</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s="2" t="inlineStr">
        <is>
          <t>Mattlummer</t>
        </is>
      </c>
      <c r="V44">
        <f>HYPERLINK("https://klasma.github.io/Logging_0486/artfynd/A 42527-2025 artfynd.xlsx", "A 42527-2025")</f>
        <v/>
      </c>
      <c r="W44">
        <f>HYPERLINK("https://klasma.github.io/Logging_0486/kartor/A 42527-2025 karta.png", "A 42527-2025")</f>
        <v/>
      </c>
      <c r="X44">
        <f>HYPERLINK("https://klasma.github.io/Logging_0486/kartor_geotiff/A 42527-2025 georefererad karta.tif", "A 42527-2025")</f>
        <v/>
      </c>
      <c r="Z44">
        <f>HYPERLINK("https://klasma.github.io/Logging_0486/klagomål/A 42527-2025 FSC-klagomål.docx", "A 42527-2025")</f>
        <v/>
      </c>
      <c r="AA44">
        <f>HYPERLINK("https://klasma.github.io/Logging_0486/klagomålsmail/A 42527-2025 FSC-klagomål mail.docx", "A 42527-2025")</f>
        <v/>
      </c>
      <c r="AB44">
        <f>HYPERLINK("https://klasma.github.io/Logging_0486/tillsyn/A 42527-2025 tillsynsbegäran.docx", "A 42527-2025")</f>
        <v/>
      </c>
      <c r="AC44">
        <f>HYPERLINK("https://klasma.github.io/Logging_0486/tillsynsmail/A 42527-2025 tillsynsbegäran mail.docx", "A 42527-2025")</f>
        <v/>
      </c>
    </row>
    <row r="45" ht="15" customHeight="1">
      <c r="A45" t="inlineStr">
        <is>
          <t>A 24454-2022</t>
        </is>
      </c>
      <c r="B45" t="inlineStr">
        <is>
          <t>avverkningsanmälan</t>
        </is>
      </c>
      <c r="C45" t="inlineStr">
        <is>
          <t>Föryngringsavverkning</t>
        </is>
      </c>
      <c r="D45" s="1" t="n">
        <v>44726</v>
      </c>
      <c r="E45" s="1" t="n">
        <v>46223</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s="2" t="inlineStr">
        <is>
          <t>Järpe</t>
        </is>
      </c>
      <c r="V45">
        <f>HYPERLINK("https://klasma.github.io/Logging_0486/artfynd/A 24454-2022 artfynd.xlsx", "A 24454-2022")</f>
        <v/>
      </c>
      <c r="W45">
        <f>HYPERLINK("https://klasma.github.io/Logging_0486/kartor/A 24454-2022 karta.png", "A 24454-2022")</f>
        <v/>
      </c>
      <c r="X45">
        <f>HYPERLINK("https://klasma.github.io/Logging_0486/kartor_geotiff/A 24454-2022 georefererad karta.tif", "A 24454-2022")</f>
        <v/>
      </c>
      <c r="Z45">
        <f>HYPERLINK("https://klasma.github.io/Logging_0486/klagomål/A 24454-2022 FSC-klagomål.docx", "A 24454-2022")</f>
        <v/>
      </c>
      <c r="AA45">
        <f>HYPERLINK("https://klasma.github.io/Logging_0486/klagomålsmail/A 24454-2022 FSC-klagomål mail.docx", "A 24454-2022")</f>
        <v/>
      </c>
      <c r="AB45">
        <f>HYPERLINK("https://klasma.github.io/Logging_0486/tillsyn/A 24454-2022 tillsynsbegäran.docx", "A 24454-2022")</f>
        <v/>
      </c>
      <c r="AC45">
        <f>HYPERLINK("https://klasma.github.io/Logging_0486/tillsynsmail/A 24454-2022 tillsynsbegäran mail.docx", "A 24454-2022")</f>
        <v/>
      </c>
      <c r="AD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46223</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s="2" t="inlineStr">
        <is>
          <t>Grönpyrola</t>
        </is>
      </c>
      <c r="V46">
        <f>HYPERLINK("https://klasma.github.io/Logging_0486/artfynd/A 35360-2024 artfynd.xlsx", "A 35360-2024")</f>
        <v/>
      </c>
      <c r="W46">
        <f>HYPERLINK("https://klasma.github.io/Logging_0486/kartor/A 35360-2024 karta.png", "A 35360-2024")</f>
        <v/>
      </c>
      <c r="X46">
        <f>HYPERLINK("https://klasma.github.io/Logging_0486/kartor_geotiff/A 35360-2024 georefererad karta.tif", "A 35360-2024")</f>
        <v/>
      </c>
      <c r="Z46">
        <f>HYPERLINK("https://klasma.github.io/Logging_0486/klagomål/A 35360-2024 FSC-klagomål.docx", "A 35360-2024")</f>
        <v/>
      </c>
      <c r="AA46">
        <f>HYPERLINK("https://klasma.github.io/Logging_0486/klagomålsmail/A 35360-2024 FSC-klagomål mail.docx", "A 35360-2024")</f>
        <v/>
      </c>
      <c r="AB46">
        <f>HYPERLINK("https://klasma.github.io/Logging_0486/tillsyn/A 35360-2024 tillsynsbegäran.docx", "A 35360-2024")</f>
        <v/>
      </c>
      <c r="AC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46223</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s="2" t="inlineStr">
        <is>
          <t>Spillkråka</t>
        </is>
      </c>
      <c r="V47">
        <f>HYPERLINK("https://klasma.github.io/Logging_0486/artfynd/A 72270-2021 artfynd.xlsx", "A 72270-2021")</f>
        <v/>
      </c>
      <c r="W47">
        <f>HYPERLINK("https://klasma.github.io/Logging_0486/kartor/A 72270-2021 karta.png", "A 72270-2021")</f>
        <v/>
      </c>
      <c r="X47">
        <f>HYPERLINK("https://klasma.github.io/Logging_0486/kartor_geotiff/A 72270-2021 georefererad karta.tif", "A 72270-2021")</f>
        <v/>
      </c>
      <c r="Z47">
        <f>HYPERLINK("https://klasma.github.io/Logging_0486/klagomål/A 72270-2021 FSC-klagomål.docx", "A 72270-2021")</f>
        <v/>
      </c>
      <c r="AA47">
        <f>HYPERLINK("https://klasma.github.io/Logging_0486/klagomålsmail/A 72270-2021 FSC-klagomål mail.docx", "A 72270-2021")</f>
        <v/>
      </c>
      <c r="AB47">
        <f>HYPERLINK("https://klasma.github.io/Logging_0486/tillsyn/A 72270-2021 tillsynsbegäran.docx", "A 72270-2021")</f>
        <v/>
      </c>
      <c r="AC47">
        <f>HYPERLINK("https://klasma.github.io/Logging_0486/tillsynsmail/A 72270-2021 tillsynsbegäran mail.docx", "A 72270-2021")</f>
        <v/>
      </c>
      <c r="AD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46223</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s="2" t="inlineStr">
        <is>
          <t>Mistel</t>
        </is>
      </c>
      <c r="V48">
        <f>HYPERLINK("https://klasma.github.io/Logging_0486/artfynd/A 18879-2023 artfynd.xlsx", "A 18879-2023")</f>
        <v/>
      </c>
      <c r="W48">
        <f>HYPERLINK("https://klasma.github.io/Logging_0486/kartor/A 18879-2023 karta.png", "A 18879-2023")</f>
        <v/>
      </c>
      <c r="X48">
        <f>HYPERLINK("https://klasma.github.io/Logging_0486/kartor_geotiff/A 18879-2023 georefererad karta.tif", "A 18879-2023")</f>
        <v/>
      </c>
      <c r="Z48">
        <f>HYPERLINK("https://klasma.github.io/Logging_0486/klagomål/A 18879-2023 FSC-klagomål.docx", "A 18879-2023")</f>
        <v/>
      </c>
      <c r="AA48">
        <f>HYPERLINK("https://klasma.github.io/Logging_0486/klagomålsmail/A 18879-2023 FSC-klagomål mail.docx", "A 18879-2023")</f>
        <v/>
      </c>
      <c r="AB48">
        <f>HYPERLINK("https://klasma.github.io/Logging_0486/tillsyn/A 18879-2023 tillsynsbegäran.docx", "A 18879-2023")</f>
        <v/>
      </c>
      <c r="AC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46223</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X49">
        <f>HYPERLINK("https://klasma.github.io/Logging_0486/kartor_geotiff/A 52355-2023 georefererad karta.tif", "A 52355-2023")</f>
        <v/>
      </c>
      <c r="Z49">
        <f>HYPERLINK("https://klasma.github.io/Logging_0486/klagomål/A 52355-2023 FSC-klagomål.docx", "A 52355-2023")</f>
        <v/>
      </c>
      <c r="AA49">
        <f>HYPERLINK("https://klasma.github.io/Logging_0486/klagomålsmail/A 52355-2023 FSC-klagomål mail.docx", "A 52355-2023")</f>
        <v/>
      </c>
      <c r="AB49">
        <f>HYPERLINK("https://klasma.github.io/Logging_0486/tillsyn/A 52355-2023 tillsynsbegäran.docx", "A 52355-2023")</f>
        <v/>
      </c>
      <c r="AC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46223</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46223</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46223</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46223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46223</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46223</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46223</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15814-2022</t>
        </is>
      </c>
      <c r="B57" t="inlineStr">
        <is>
          <t>avverkningsanmälan</t>
        </is>
      </c>
      <c r="C57" t="inlineStr">
        <is>
          <t>Föryngringsavverkning</t>
        </is>
      </c>
      <c r="D57" s="1" t="n">
        <v>44664</v>
      </c>
      <c r="E57" s="1" t="n">
        <v>46223</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s="2" t="inlineStr"/>
    </row>
    <row r="58" ht="15" customHeight="1">
      <c r="A58" t="inlineStr">
        <is>
          <t>A 47453-2022</t>
        </is>
      </c>
      <c r="B58" t="inlineStr">
        <is>
          <t>avverkningsanmälan</t>
        </is>
      </c>
      <c r="C58" t="inlineStr">
        <is>
          <t>Föryngringsavverkning</t>
        </is>
      </c>
      <c r="D58" s="1" t="n">
        <v>44852</v>
      </c>
      <c r="E58" s="1" t="n">
        <v>46223</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s="2" t="inlineStr"/>
    </row>
    <row r="59" ht="15" customHeight="1">
      <c r="A59" t="inlineStr">
        <is>
          <t>A 60331-2021</t>
        </is>
      </c>
      <c r="B59" t="inlineStr">
        <is>
          <t>avverkningsanmälan</t>
        </is>
      </c>
      <c r="C59" t="inlineStr">
        <is>
          <t>Föryngringsavverkning</t>
        </is>
      </c>
      <c r="D59" s="1" t="n">
        <v>44495</v>
      </c>
      <c r="E59" s="1" t="n">
        <v>46223</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s="2" t="inlineStr"/>
    </row>
    <row r="60" ht="15" customHeight="1">
      <c r="A60" t="inlineStr">
        <is>
          <t>A 47251-2021</t>
        </is>
      </c>
      <c r="B60" t="inlineStr">
        <is>
          <t>avverkningsanmälan</t>
        </is>
      </c>
      <c r="C60" t="inlineStr">
        <is>
          <t>Föryngringsavverkning</t>
        </is>
      </c>
      <c r="D60" s="1" t="n">
        <v>44439</v>
      </c>
      <c r="E60" s="1" t="n">
        <v>46223</v>
      </c>
      <c r="F60" t="inlineStr">
        <is>
          <t>SÖDERMANLANDS LÄN</t>
        </is>
      </c>
      <c r="G60" t="inlineStr">
        <is>
          <t>STRÄNGNÄS</t>
        </is>
      </c>
      <c r="I60" t="n">
        <v>2.6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46223</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46223</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46223</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45129-2021</t>
        </is>
      </c>
      <c r="B64" t="inlineStr">
        <is>
          <t>avverkningsanmälan</t>
        </is>
      </c>
      <c r="C64" t="inlineStr">
        <is>
          <t>Föryngringsavverkning</t>
        </is>
      </c>
      <c r="D64" s="1" t="n">
        <v>44439</v>
      </c>
      <c r="E64" s="1" t="n">
        <v>46223</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s="2" t="inlineStr"/>
    </row>
    <row r="65" ht="15" customHeight="1">
      <c r="A65" t="inlineStr">
        <is>
          <t>A 45131-2021</t>
        </is>
      </c>
      <c r="B65" t="inlineStr">
        <is>
          <t>avverkningsanmälan</t>
        </is>
      </c>
      <c r="C65" t="inlineStr">
        <is>
          <t>Föryngringsavverkning</t>
        </is>
      </c>
      <c r="D65" s="1" t="n">
        <v>44439</v>
      </c>
      <c r="E65" s="1" t="n">
        <v>46223</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s="2" t="inlineStr"/>
    </row>
    <row r="66" ht="15" customHeight="1">
      <c r="A66" t="inlineStr">
        <is>
          <t>A 55663-2021</t>
        </is>
      </c>
      <c r="B66" t="inlineStr">
        <is>
          <t>avverkningsanmälan</t>
        </is>
      </c>
      <c r="C66" t="inlineStr">
        <is>
          <t>Föryngringsavverkning</t>
        </is>
      </c>
      <c r="D66" s="1" t="n">
        <v>44475</v>
      </c>
      <c r="E66" s="1" t="n">
        <v>46223</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s="2" t="inlineStr"/>
    </row>
    <row r="67" ht="15" customHeight="1">
      <c r="A67" t="inlineStr">
        <is>
          <t>A 7923-2022</t>
        </is>
      </c>
      <c r="B67" t="inlineStr">
        <is>
          <t>avverkningsanmälan</t>
        </is>
      </c>
      <c r="C67" t="inlineStr">
        <is>
          <t>Föryngringsavverkning</t>
        </is>
      </c>
      <c r="D67" s="1" t="n">
        <v>44608</v>
      </c>
      <c r="E67" s="1" t="n">
        <v>46223</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46223</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46223</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46223</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46223</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46223</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46223</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46223</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46223</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46223</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46223</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46223</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46223</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46223</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46223</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46223</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46223</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46223</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46223</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46223</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46223</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21526-2022</t>
        </is>
      </c>
      <c r="B88" t="inlineStr">
        <is>
          <t>avverkningsanmälan</t>
        </is>
      </c>
      <c r="C88" t="inlineStr">
        <is>
          <t>Föryngringsavverkning</t>
        </is>
      </c>
      <c r="D88" s="1" t="n">
        <v>44706</v>
      </c>
      <c r="E88" s="1" t="n">
        <v>46223</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s="2" t="inlineStr"/>
    </row>
    <row r="89" ht="15" customHeight="1">
      <c r="A89" t="inlineStr">
        <is>
          <t>A 9701-2022</t>
        </is>
      </c>
      <c r="B89" t="inlineStr">
        <is>
          <t>avverkningsanmälan</t>
        </is>
      </c>
      <c r="C89" t="inlineStr">
        <is>
          <t>Föryngringsavverkning</t>
        </is>
      </c>
      <c r="D89" s="1" t="n">
        <v>44617</v>
      </c>
      <c r="E89" s="1" t="n">
        <v>46223</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s="2" t="inlineStr"/>
    </row>
    <row r="90" ht="15" customHeight="1">
      <c r="A90" t="inlineStr">
        <is>
          <t>A 70934-2021</t>
        </is>
      </c>
      <c r="B90" t="inlineStr">
        <is>
          <t>avverkningsanmälan</t>
        </is>
      </c>
      <c r="C90" t="inlineStr">
        <is>
          <t>Föryngringsavverkning</t>
        </is>
      </c>
      <c r="D90" s="1" t="n">
        <v>44537</v>
      </c>
      <c r="E90" s="1" t="n">
        <v>46223</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s="2" t="inlineStr"/>
    </row>
    <row r="91" ht="15" customHeight="1">
      <c r="A91" t="inlineStr">
        <is>
          <t>A 9158-2022</t>
        </is>
      </c>
      <c r="B91" t="inlineStr">
        <is>
          <t>avverkningsanmälan</t>
        </is>
      </c>
      <c r="C91" t="inlineStr">
        <is>
          <t>Föryngringsavverkning</t>
        </is>
      </c>
      <c r="D91" s="1" t="n">
        <v>44615</v>
      </c>
      <c r="E91" s="1" t="n">
        <v>46223</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46223</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46223</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46223</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46223</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46223</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46223</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46223</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18860-2023</t>
        </is>
      </c>
      <c r="B99" t="inlineStr">
        <is>
          <t>avverkningsanmälan</t>
        </is>
      </c>
      <c r="C99" t="inlineStr">
        <is>
          <t>Föryngringsavverkning</t>
        </is>
      </c>
      <c r="D99" s="1" t="n">
        <v>45044</v>
      </c>
      <c r="E99" s="1" t="n">
        <v>46223</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s="2" t="inlineStr"/>
    </row>
    <row r="100" ht="15" customHeight="1">
      <c r="A100" t="inlineStr">
        <is>
          <t>A 18865-2023</t>
        </is>
      </c>
      <c r="B100" t="inlineStr">
        <is>
          <t>avverkningsanmälan</t>
        </is>
      </c>
      <c r="C100" t="inlineStr">
        <is>
          <t>Föryngringsavverkning</t>
        </is>
      </c>
      <c r="D100" s="1" t="n">
        <v>45044</v>
      </c>
      <c r="E100" s="1" t="n">
        <v>46223</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41241-2022</t>
        </is>
      </c>
      <c r="B101" t="inlineStr">
        <is>
          <t>avverkningsanmälan</t>
        </is>
      </c>
      <c r="C101" t="inlineStr">
        <is>
          <t>Föryngringsavverkning</t>
        </is>
      </c>
      <c r="D101" s="1" t="n">
        <v>44826</v>
      </c>
      <c r="E101" s="1" t="n">
        <v>46223</v>
      </c>
      <c r="F101" t="inlineStr">
        <is>
          <t>SÖDERMANLANDS LÄN</t>
        </is>
      </c>
      <c r="G101" t="inlineStr">
        <is>
          <t>STRÄNGNÄS</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15572-2024</t>
        </is>
      </c>
      <c r="B102" t="inlineStr">
        <is>
          <t>avverkningsanmälan</t>
        </is>
      </c>
      <c r="C102" t="inlineStr">
        <is>
          <t>Föryngringsavverkning</t>
        </is>
      </c>
      <c r="D102" s="1" t="n">
        <v>45401</v>
      </c>
      <c r="E102" s="1" t="n">
        <v>46223</v>
      </c>
      <c r="F102" t="inlineStr">
        <is>
          <t>SÖDERMANLANDS LÄN</t>
        </is>
      </c>
      <c r="G102" t="inlineStr">
        <is>
          <t>STRÄNGNÄS</t>
        </is>
      </c>
      <c r="I102" t="n">
        <v>7.4</v>
      </c>
      <c r="J102" t="n">
        <v>0</v>
      </c>
      <c r="K102" t="n">
        <v>0</v>
      </c>
      <c r="L102" t="n">
        <v>0</v>
      </c>
      <c r="M102" t="n">
        <v>0</v>
      </c>
      <c r="N102" t="n">
        <v>0</v>
      </c>
      <c r="O102" t="n">
        <v>0</v>
      </c>
      <c r="P102" t="n">
        <v>0</v>
      </c>
      <c r="Q102" t="n">
        <v>0</v>
      </c>
      <c r="R102" t="n">
        <v>0</v>
      </c>
      <c r="S102" t="n">
        <v>0</v>
      </c>
      <c r="T102" t="n">
        <v>0</v>
      </c>
      <c r="U102" s="2" t="inlineStr"/>
    </row>
    <row r="103" ht="15" customHeight="1">
      <c r="A103" t="inlineStr">
        <is>
          <t>A 20181-2024</t>
        </is>
      </c>
      <c r="B103" t="inlineStr">
        <is>
          <t>avverkningsanmälan</t>
        </is>
      </c>
      <c r="C103" t="inlineStr">
        <is>
          <t>Avverkning för annat ändamål</t>
        </is>
      </c>
      <c r="D103" s="1" t="n">
        <v>45434</v>
      </c>
      <c r="E103" s="1" t="n">
        <v>46223</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12792-2024</t>
        </is>
      </c>
      <c r="B104" t="inlineStr">
        <is>
          <t>avverkningsanmälan</t>
        </is>
      </c>
      <c r="C104" t="inlineStr">
        <is>
          <t>Föryngringsavverkning</t>
        </is>
      </c>
      <c r="D104" s="1" t="n">
        <v>45384</v>
      </c>
      <c r="E104" s="1" t="n">
        <v>46223</v>
      </c>
      <c r="F104" t="inlineStr">
        <is>
          <t>SÖDERMANLANDS LÄN</t>
        </is>
      </c>
      <c r="G104" t="inlineStr">
        <is>
          <t>STRÄNGNÄS</t>
        </is>
      </c>
      <c r="I104" t="n">
        <v>19.1</v>
      </c>
      <c r="J104" t="n">
        <v>0</v>
      </c>
      <c r="K104" t="n">
        <v>0</v>
      </c>
      <c r="L104" t="n">
        <v>0</v>
      </c>
      <c r="M104" t="n">
        <v>0</v>
      </c>
      <c r="N104" t="n">
        <v>0</v>
      </c>
      <c r="O104" t="n">
        <v>0</v>
      </c>
      <c r="P104" t="n">
        <v>0</v>
      </c>
      <c r="Q104" t="n">
        <v>0</v>
      </c>
      <c r="R104" t="n">
        <v>0</v>
      </c>
      <c r="S104" t="n">
        <v>0</v>
      </c>
      <c r="T104" t="n">
        <v>0</v>
      </c>
      <c r="U104" s="2" t="inlineStr"/>
    </row>
    <row r="105" ht="15" customHeight="1">
      <c r="A105" t="inlineStr">
        <is>
          <t>A 42476-2022</t>
        </is>
      </c>
      <c r="B105" t="inlineStr">
        <is>
          <t>avverkningsanmälan</t>
        </is>
      </c>
      <c r="C105" t="inlineStr">
        <is>
          <t>Föryngringsavverkning</t>
        </is>
      </c>
      <c r="D105" s="1" t="n">
        <v>44831</v>
      </c>
      <c r="E105" s="1" t="n">
        <v>46223</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s="2" t="inlineStr"/>
    </row>
    <row r="106" ht="15" customHeight="1">
      <c r="A106" t="inlineStr">
        <is>
          <t>A 42503-2022</t>
        </is>
      </c>
      <c r="B106" t="inlineStr">
        <is>
          <t>avverkningsanmälan</t>
        </is>
      </c>
      <c r="C106" t="inlineStr">
        <is>
          <t>Föryngringsavverkning</t>
        </is>
      </c>
      <c r="D106" s="1" t="n">
        <v>44831</v>
      </c>
      <c r="E106" s="1" t="n">
        <v>46223</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s="2" t="inlineStr"/>
    </row>
    <row r="107" ht="15" customHeight="1">
      <c r="A107" t="inlineStr">
        <is>
          <t>A 14034-2024</t>
        </is>
      </c>
      <c r="B107" t="inlineStr">
        <is>
          <t>avverkningsanmälan</t>
        </is>
      </c>
      <c r="C107" t="inlineStr">
        <is>
          <t>Föryngringsavverkning</t>
        </is>
      </c>
      <c r="D107" s="1" t="n">
        <v>45392</v>
      </c>
      <c r="E107" s="1" t="n">
        <v>46223</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s="2" t="inlineStr"/>
    </row>
    <row r="108" ht="15" customHeight="1">
      <c r="A108" t="inlineStr">
        <is>
          <t>A 23225-2023</t>
        </is>
      </c>
      <c r="B108" t="inlineStr">
        <is>
          <t>avverkningsanmälan</t>
        </is>
      </c>
      <c r="C108" t="inlineStr">
        <is>
          <t>Föryngringsavverkning</t>
        </is>
      </c>
      <c r="D108" s="1" t="n">
        <v>45075</v>
      </c>
      <c r="E108" s="1" t="n">
        <v>46223</v>
      </c>
      <c r="F108" t="inlineStr">
        <is>
          <t>SÖDERMANLANDS LÄN</t>
        </is>
      </c>
      <c r="G108" t="inlineStr">
        <is>
          <t>STRÄNGNÄS</t>
        </is>
      </c>
      <c r="I108" t="n">
        <v>7.1</v>
      </c>
      <c r="J108" t="n">
        <v>0</v>
      </c>
      <c r="K108" t="n">
        <v>0</v>
      </c>
      <c r="L108" t="n">
        <v>0</v>
      </c>
      <c r="M108" t="n">
        <v>0</v>
      </c>
      <c r="N108" t="n">
        <v>0</v>
      </c>
      <c r="O108" t="n">
        <v>0</v>
      </c>
      <c r="P108" t="n">
        <v>0</v>
      </c>
      <c r="Q108" t="n">
        <v>0</v>
      </c>
      <c r="R108" t="n">
        <v>0</v>
      </c>
      <c r="S108" t="n">
        <v>0</v>
      </c>
      <c r="T108" t="n">
        <v>0</v>
      </c>
      <c r="U108" s="2" t="inlineStr"/>
    </row>
    <row r="109" ht="15" customHeight="1">
      <c r="A109" t="inlineStr">
        <is>
          <t>A 888-2023</t>
        </is>
      </c>
      <c r="B109" t="inlineStr">
        <is>
          <t>avverkningsanmälan</t>
        </is>
      </c>
      <c r="C109" t="inlineStr">
        <is>
          <t>Föryngringsavverkning</t>
        </is>
      </c>
      <c r="D109" s="1" t="n">
        <v>44931</v>
      </c>
      <c r="E109" s="1" t="n">
        <v>46223</v>
      </c>
      <c r="F109" t="inlineStr">
        <is>
          <t>SÖDERMANLANDS LÄN</t>
        </is>
      </c>
      <c r="G109" t="inlineStr">
        <is>
          <t>STRÄNGNÄS</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52773-2023</t>
        </is>
      </c>
      <c r="B110" t="inlineStr">
        <is>
          <t>avverkningsanmälan</t>
        </is>
      </c>
      <c r="C110" t="inlineStr">
        <is>
          <t>Föryngringsavverkning</t>
        </is>
      </c>
      <c r="D110" s="1" t="n">
        <v>45219</v>
      </c>
      <c r="E110" s="1" t="n">
        <v>46223</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52840-2023</t>
        </is>
      </c>
      <c r="B111" t="inlineStr">
        <is>
          <t>avverkningsanmälan</t>
        </is>
      </c>
      <c r="C111" t="inlineStr">
        <is>
          <t>Föryngringsavverkning</t>
        </is>
      </c>
      <c r="D111" s="1" t="n">
        <v>45226</v>
      </c>
      <c r="E111" s="1" t="n">
        <v>46223</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59060-2022</t>
        </is>
      </c>
      <c r="B112" t="inlineStr">
        <is>
          <t>avverkningsanmälan</t>
        </is>
      </c>
      <c r="C112" t="inlineStr">
        <is>
          <t>Föryngringsavverkning</t>
        </is>
      </c>
      <c r="D112" s="1" t="n">
        <v>44904</v>
      </c>
      <c r="E112" s="1" t="n">
        <v>46223</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54598-2022</t>
        </is>
      </c>
      <c r="B113" t="inlineStr">
        <is>
          <t>avverkningsanmälan</t>
        </is>
      </c>
      <c r="C113" t="inlineStr">
        <is>
          <t>Föryngringsavverkning</t>
        </is>
      </c>
      <c r="D113" s="1" t="n">
        <v>44881</v>
      </c>
      <c r="E113" s="1" t="n">
        <v>46223</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s="2" t="inlineStr"/>
    </row>
    <row r="114" ht="15" customHeight="1">
      <c r="A114" t="inlineStr">
        <is>
          <t>A 3037-2022</t>
        </is>
      </c>
      <c r="B114" t="inlineStr">
        <is>
          <t>avverkningsanmälan</t>
        </is>
      </c>
      <c r="C114" t="inlineStr">
        <is>
          <t>Föryngringsavverkning</t>
        </is>
      </c>
      <c r="D114" s="1" t="n">
        <v>44581</v>
      </c>
      <c r="E114" s="1" t="n">
        <v>46223</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57048-2021</t>
        </is>
      </c>
      <c r="B115" t="inlineStr">
        <is>
          <t>avverkningsanmälan</t>
        </is>
      </c>
      <c r="C115" t="inlineStr">
        <is>
          <t>Föryngringsavverkning</t>
        </is>
      </c>
      <c r="D115" s="1" t="n">
        <v>44481</v>
      </c>
      <c r="E115" s="1" t="n">
        <v>46223</v>
      </c>
      <c r="F115" t="inlineStr">
        <is>
          <t>SÖDERMANLANDS LÄN</t>
        </is>
      </c>
      <c r="G115" t="inlineStr">
        <is>
          <t>STRÄNGNÄS</t>
        </is>
      </c>
      <c r="I115" t="n">
        <v>9</v>
      </c>
      <c r="J115" t="n">
        <v>0</v>
      </c>
      <c r="K115" t="n">
        <v>0</v>
      </c>
      <c r="L115" t="n">
        <v>0</v>
      </c>
      <c r="M115" t="n">
        <v>0</v>
      </c>
      <c r="N115" t="n">
        <v>0</v>
      </c>
      <c r="O115" t="n">
        <v>0</v>
      </c>
      <c r="P115" t="n">
        <v>0</v>
      </c>
      <c r="Q115" t="n">
        <v>0</v>
      </c>
      <c r="R115" t="n">
        <v>0</v>
      </c>
      <c r="S115" t="n">
        <v>0</v>
      </c>
      <c r="T115" t="n">
        <v>0</v>
      </c>
      <c r="U115" s="2" t="inlineStr"/>
    </row>
    <row r="116" ht="15" customHeight="1">
      <c r="A116" t="inlineStr">
        <is>
          <t>A 63732-2021</t>
        </is>
      </c>
      <c r="B116" t="inlineStr">
        <is>
          <t>avverkningsanmälan</t>
        </is>
      </c>
      <c r="C116" t="inlineStr">
        <is>
          <t>Föryngringsavverkning</t>
        </is>
      </c>
      <c r="D116" s="1" t="n">
        <v>44508</v>
      </c>
      <c r="E116" s="1" t="n">
        <v>46223</v>
      </c>
      <c r="F116" t="inlineStr">
        <is>
          <t>SÖDERMANLANDS LÄN</t>
        </is>
      </c>
      <c r="G116" t="inlineStr">
        <is>
          <t>STRÄNGNÄS</t>
        </is>
      </c>
      <c r="I116" t="n">
        <v>6.1</v>
      </c>
      <c r="J116" t="n">
        <v>0</v>
      </c>
      <c r="K116" t="n">
        <v>0</v>
      </c>
      <c r="L116" t="n">
        <v>0</v>
      </c>
      <c r="M116" t="n">
        <v>0</v>
      </c>
      <c r="N116" t="n">
        <v>0</v>
      </c>
      <c r="O116" t="n">
        <v>0</v>
      </c>
      <c r="P116" t="n">
        <v>0</v>
      </c>
      <c r="Q116" t="n">
        <v>0</v>
      </c>
      <c r="R116" t="n">
        <v>0</v>
      </c>
      <c r="S116" t="n">
        <v>0</v>
      </c>
      <c r="T116" t="n">
        <v>0</v>
      </c>
      <c r="U116" s="2" t="inlineStr"/>
    </row>
    <row r="117" ht="15" customHeight="1">
      <c r="A117" t="inlineStr">
        <is>
          <t>A 243-2023</t>
        </is>
      </c>
      <c r="B117" t="inlineStr">
        <is>
          <t>avverkningsanmälan</t>
        </is>
      </c>
      <c r="C117" t="inlineStr">
        <is>
          <t>Föryngringsavverkning</t>
        </is>
      </c>
      <c r="D117" s="1" t="n">
        <v>44928</v>
      </c>
      <c r="E117" s="1" t="n">
        <v>46223</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61567-2024</t>
        </is>
      </c>
      <c r="B118" t="inlineStr">
        <is>
          <t>avverkningsanmälan</t>
        </is>
      </c>
      <c r="C118" t="inlineStr">
        <is>
          <t>Avverkning för annat ändamål</t>
        </is>
      </c>
      <c r="D118" s="1" t="n">
        <v>45646</v>
      </c>
      <c r="E118" s="1" t="n">
        <v>46223</v>
      </c>
      <c r="F118" t="inlineStr">
        <is>
          <t>SÖDERMANLANDS LÄN</t>
        </is>
      </c>
      <c r="G118" t="inlineStr">
        <is>
          <t>STRÄNGNÄS</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16414-2022</t>
        </is>
      </c>
      <c r="B119" t="inlineStr">
        <is>
          <t>avverkningsanmälan</t>
        </is>
      </c>
      <c r="C119" t="inlineStr">
        <is>
          <t>Föryngringsavverkning</t>
        </is>
      </c>
      <c r="D119" s="1" t="n">
        <v>44671</v>
      </c>
      <c r="E119" s="1" t="n">
        <v>46223</v>
      </c>
      <c r="F119" t="inlineStr">
        <is>
          <t>SÖDERMANLANDS LÄN</t>
        </is>
      </c>
      <c r="G119" t="inlineStr">
        <is>
          <t>STRÄNGNÄS</t>
        </is>
      </c>
      <c r="H119" t="inlineStr">
        <is>
          <t>Övriga Aktiebolag</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3207-2026</t>
        </is>
      </c>
      <c r="B120" t="inlineStr">
        <is>
          <t>avverkningsanmälan</t>
        </is>
      </c>
      <c r="C120" t="inlineStr">
        <is>
          <t>Föryngringsavverkning</t>
        </is>
      </c>
      <c r="D120" s="1" t="n">
        <v>46041</v>
      </c>
      <c r="E120" s="1" t="n">
        <v>46223</v>
      </c>
      <c r="F120" t="inlineStr">
        <is>
          <t>SÖDERMANLANDS LÄN</t>
        </is>
      </c>
      <c r="G120" t="inlineStr">
        <is>
          <t>STRÄNGNÄS</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64355-2023</t>
        </is>
      </c>
      <c r="B121" t="inlineStr">
        <is>
          <t>avverkningsanmälan</t>
        </is>
      </c>
      <c r="C121" t="inlineStr">
        <is>
          <t>Föryngringsavverkning</t>
        </is>
      </c>
      <c r="D121" s="1" t="n">
        <v>45280</v>
      </c>
      <c r="E121" s="1" t="n">
        <v>46223</v>
      </c>
      <c r="F121" t="inlineStr">
        <is>
          <t>SÖDERMANLANDS LÄN</t>
        </is>
      </c>
      <c r="G121" t="inlineStr">
        <is>
          <t>STRÄNGNÄS</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3127-2026</t>
        </is>
      </c>
      <c r="B122" t="inlineStr">
        <is>
          <t>avverkningsanmälan</t>
        </is>
      </c>
      <c r="C122" t="inlineStr">
        <is>
          <t>Föryngringsavverkning</t>
        </is>
      </c>
      <c r="D122" s="1" t="n">
        <v>46041</v>
      </c>
      <c r="E122" s="1" t="n">
        <v>46223</v>
      </c>
      <c r="F122" t="inlineStr">
        <is>
          <t>SÖDERMANLANDS LÄN</t>
        </is>
      </c>
      <c r="G122" t="inlineStr">
        <is>
          <t>STRÄNGNÄS</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57484-2025</t>
        </is>
      </c>
      <c r="B123" t="inlineStr">
        <is>
          <t>avverkningsanmälan</t>
        </is>
      </c>
      <c r="C123" t="inlineStr">
        <is>
          <t>Avverkning för annat ändamål</t>
        </is>
      </c>
      <c r="D123" s="1" t="n">
        <v>45980</v>
      </c>
      <c r="E123" s="1" t="n">
        <v>46223</v>
      </c>
      <c r="F123" t="inlineStr">
        <is>
          <t>SÖDERMANLANDS LÄN</t>
        </is>
      </c>
      <c r="G123" t="inlineStr">
        <is>
          <t>STRÄNGNÄS</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1117-2022</t>
        </is>
      </c>
      <c r="B124" t="inlineStr">
        <is>
          <t>avverkningsanmälan</t>
        </is>
      </c>
      <c r="C124" t="inlineStr">
        <is>
          <t>Föryngringsavverkning</t>
        </is>
      </c>
      <c r="D124" s="1" t="n">
        <v>44571</v>
      </c>
      <c r="E124" s="1" t="n">
        <v>46223</v>
      </c>
      <c r="F124" t="inlineStr">
        <is>
          <t>SÖDERMANLANDS LÄN</t>
        </is>
      </c>
      <c r="G124" t="inlineStr">
        <is>
          <t>STRÄNGNÄS</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4151-2026</t>
        </is>
      </c>
      <c r="B125" t="inlineStr">
        <is>
          <t>avverkningsanmälan</t>
        </is>
      </c>
      <c r="C125" t="inlineStr">
        <is>
          <t>Föryngringsavverkning</t>
        </is>
      </c>
      <c r="D125" s="1" t="n">
        <v>46044</v>
      </c>
      <c r="E125" s="1" t="n">
        <v>46223</v>
      </c>
      <c r="F125" t="inlineStr">
        <is>
          <t>SÖDERMANLANDS LÄN</t>
        </is>
      </c>
      <c r="G125" t="inlineStr">
        <is>
          <t>STRÄNGNÄS</t>
        </is>
      </c>
      <c r="I125" t="n">
        <v>4.6</v>
      </c>
      <c r="J125" t="n">
        <v>0</v>
      </c>
      <c r="K125" t="n">
        <v>0</v>
      </c>
      <c r="L125" t="n">
        <v>0</v>
      </c>
      <c r="M125" t="n">
        <v>0</v>
      </c>
      <c r="N125" t="n">
        <v>0</v>
      </c>
      <c r="O125" t="n">
        <v>0</v>
      </c>
      <c r="P125" t="n">
        <v>0</v>
      </c>
      <c r="Q125" t="n">
        <v>0</v>
      </c>
      <c r="R125" t="n">
        <v>0</v>
      </c>
      <c r="S125" t="n">
        <v>0</v>
      </c>
      <c r="T125" t="n">
        <v>0</v>
      </c>
      <c r="U125" s="2" t="inlineStr"/>
    </row>
    <row r="126" ht="15" customHeight="1">
      <c r="A126" t="inlineStr">
        <is>
          <t>A 9511-2022</t>
        </is>
      </c>
      <c r="B126" t="inlineStr">
        <is>
          <t>avverkningsanmälan</t>
        </is>
      </c>
      <c r="C126" t="inlineStr">
        <is>
          <t>Föryngringsavverkning</t>
        </is>
      </c>
      <c r="D126" s="1" t="n">
        <v>44616</v>
      </c>
      <c r="E126" s="1" t="n">
        <v>46223</v>
      </c>
      <c r="F126" t="inlineStr">
        <is>
          <t>SÖDERMANLANDS LÄN</t>
        </is>
      </c>
      <c r="G126" t="inlineStr">
        <is>
          <t>STRÄNGNÄS</t>
        </is>
      </c>
      <c r="I126" t="n">
        <v>5.3</v>
      </c>
      <c r="J126" t="n">
        <v>0</v>
      </c>
      <c r="K126" t="n">
        <v>0</v>
      </c>
      <c r="L126" t="n">
        <v>0</v>
      </c>
      <c r="M126" t="n">
        <v>0</v>
      </c>
      <c r="N126" t="n">
        <v>0</v>
      </c>
      <c r="O126" t="n">
        <v>0</v>
      </c>
      <c r="P126" t="n">
        <v>0</v>
      </c>
      <c r="Q126" t="n">
        <v>0</v>
      </c>
      <c r="R126" t="n">
        <v>0</v>
      </c>
      <c r="S126" t="n">
        <v>0</v>
      </c>
      <c r="T126" t="n">
        <v>0</v>
      </c>
      <c r="U126" s="2" t="inlineStr"/>
    </row>
    <row r="127" ht="15" customHeight="1">
      <c r="A127" t="inlineStr">
        <is>
          <t>A 3971-2026</t>
        </is>
      </c>
      <c r="B127" t="inlineStr">
        <is>
          <t>avverkningsanmälan</t>
        </is>
      </c>
      <c r="C127" t="inlineStr">
        <is>
          <t>Föryngringsavverkning</t>
        </is>
      </c>
      <c r="D127" s="1" t="n">
        <v>46044</v>
      </c>
      <c r="E127" s="1" t="n">
        <v>46223</v>
      </c>
      <c r="F127" t="inlineStr">
        <is>
          <t>SÖDERMANLANDS LÄN</t>
        </is>
      </c>
      <c r="G127" t="inlineStr">
        <is>
          <t>STRÄNGNÄS</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15087-2025</t>
        </is>
      </c>
      <c r="B128" t="inlineStr">
        <is>
          <t>avverkningsanmälan</t>
        </is>
      </c>
      <c r="C128" t="inlineStr">
        <is>
          <t>Föryngringsavverkning</t>
        </is>
      </c>
      <c r="D128" s="1" t="n">
        <v>45743</v>
      </c>
      <c r="E128" s="1" t="n">
        <v>46223</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s="2" t="inlineStr"/>
    </row>
    <row r="129" ht="15" customHeight="1">
      <c r="A129" t="inlineStr">
        <is>
          <t>A 4112-2026</t>
        </is>
      </c>
      <c r="B129" t="inlineStr">
        <is>
          <t>avverkningsanmälan</t>
        </is>
      </c>
      <c r="C129" t="inlineStr">
        <is>
          <t>Föryngringsavverkning</t>
        </is>
      </c>
      <c r="D129" s="1" t="n">
        <v>46044</v>
      </c>
      <c r="E129" s="1" t="n">
        <v>46223</v>
      </c>
      <c r="F129" t="inlineStr">
        <is>
          <t>SÖDERMANLANDS LÄN</t>
        </is>
      </c>
      <c r="G129" t="inlineStr">
        <is>
          <t>STRÄNGNÄS</t>
        </is>
      </c>
      <c r="I129" t="n">
        <v>3.8</v>
      </c>
      <c r="J129" t="n">
        <v>0</v>
      </c>
      <c r="K129" t="n">
        <v>0</v>
      </c>
      <c r="L129" t="n">
        <v>0</v>
      </c>
      <c r="M129" t="n">
        <v>0</v>
      </c>
      <c r="N129" t="n">
        <v>0</v>
      </c>
      <c r="O129" t="n">
        <v>0</v>
      </c>
      <c r="P129" t="n">
        <v>0</v>
      </c>
      <c r="Q129" t="n">
        <v>0</v>
      </c>
      <c r="R129" t="n">
        <v>0</v>
      </c>
      <c r="S129" t="n">
        <v>0</v>
      </c>
      <c r="T129" t="n">
        <v>0</v>
      </c>
      <c r="U129" s="2" t="inlineStr"/>
    </row>
    <row r="130" ht="15" customHeight="1">
      <c r="A130" t="inlineStr">
        <is>
          <t>A 5458-2025</t>
        </is>
      </c>
      <c r="B130" t="inlineStr">
        <is>
          <t>avverkningsanmälan</t>
        </is>
      </c>
      <c r="C130" t="inlineStr">
        <is>
          <t>Föryngringsavverkning</t>
        </is>
      </c>
      <c r="D130" s="1" t="n">
        <v>45692</v>
      </c>
      <c r="E130" s="1" t="n">
        <v>46223</v>
      </c>
      <c r="F130" t="inlineStr">
        <is>
          <t>SÖDERMANLANDS LÄN</t>
        </is>
      </c>
      <c r="G130" t="inlineStr">
        <is>
          <t>STRÄNGNÄS</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1977-2026</t>
        </is>
      </c>
      <c r="B131" t="inlineStr">
        <is>
          <t>avverkningsanmälan</t>
        </is>
      </c>
      <c r="C131" t="inlineStr">
        <is>
          <t>Föryngringsavverkning</t>
        </is>
      </c>
      <c r="D131" s="1" t="n">
        <v>46035</v>
      </c>
      <c r="E131" s="1" t="n">
        <v>46223</v>
      </c>
      <c r="F131" t="inlineStr">
        <is>
          <t>SÖDERMANLANDS LÄN</t>
        </is>
      </c>
      <c r="G131" t="inlineStr">
        <is>
          <t>STRÄNGNÄS</t>
        </is>
      </c>
      <c r="I131" t="n">
        <v>8</v>
      </c>
      <c r="J131" t="n">
        <v>0</v>
      </c>
      <c r="K131" t="n">
        <v>0</v>
      </c>
      <c r="L131" t="n">
        <v>0</v>
      </c>
      <c r="M131" t="n">
        <v>0</v>
      </c>
      <c r="N131" t="n">
        <v>0</v>
      </c>
      <c r="O131" t="n">
        <v>0</v>
      </c>
      <c r="P131" t="n">
        <v>0</v>
      </c>
      <c r="Q131" t="n">
        <v>0</v>
      </c>
      <c r="R131" t="n">
        <v>0</v>
      </c>
      <c r="S131" t="n">
        <v>0</v>
      </c>
      <c r="T131" t="n">
        <v>0</v>
      </c>
      <c r="U131" s="2" t="inlineStr"/>
    </row>
    <row r="132" ht="15" customHeight="1">
      <c r="A132" t="inlineStr">
        <is>
          <t>A 35495-2023</t>
        </is>
      </c>
      <c r="B132" t="inlineStr">
        <is>
          <t>avverkningsanmälan</t>
        </is>
      </c>
      <c r="C132" t="inlineStr">
        <is>
          <t>Föryngringsavverkning</t>
        </is>
      </c>
      <c r="D132" s="1" t="n">
        <v>45146</v>
      </c>
      <c r="E132" s="1" t="n">
        <v>46223</v>
      </c>
      <c r="F132" t="inlineStr">
        <is>
          <t>SÖDERMANLANDS LÄN</t>
        </is>
      </c>
      <c r="G132" t="inlineStr">
        <is>
          <t>STRÄNGNÄS</t>
        </is>
      </c>
      <c r="I132" t="n">
        <v>7.4</v>
      </c>
      <c r="J132" t="n">
        <v>0</v>
      </c>
      <c r="K132" t="n">
        <v>0</v>
      </c>
      <c r="L132" t="n">
        <v>0</v>
      </c>
      <c r="M132" t="n">
        <v>0</v>
      </c>
      <c r="N132" t="n">
        <v>0</v>
      </c>
      <c r="O132" t="n">
        <v>0</v>
      </c>
      <c r="P132" t="n">
        <v>0</v>
      </c>
      <c r="Q132" t="n">
        <v>0</v>
      </c>
      <c r="R132" t="n">
        <v>0</v>
      </c>
      <c r="S132" t="n">
        <v>0</v>
      </c>
      <c r="T132" t="n">
        <v>0</v>
      </c>
      <c r="U132" s="2" t="inlineStr"/>
    </row>
    <row r="133" ht="15" customHeight="1">
      <c r="A133" t="inlineStr">
        <is>
          <t>A 9625-2022</t>
        </is>
      </c>
      <c r="B133" t="inlineStr">
        <is>
          <t>avverkningsanmälan</t>
        </is>
      </c>
      <c r="C133" t="inlineStr">
        <is>
          <t>Föryngringsavverkning</t>
        </is>
      </c>
      <c r="D133" s="1" t="n">
        <v>44617</v>
      </c>
      <c r="E133" s="1" t="n">
        <v>46223</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40112-2025</t>
        </is>
      </c>
      <c r="B134" t="inlineStr">
        <is>
          <t>avverkningsanmälan</t>
        </is>
      </c>
      <c r="C134" t="inlineStr">
        <is>
          <t>Föryngringsavverkning</t>
        </is>
      </c>
      <c r="D134" s="1" t="n">
        <v>45894</v>
      </c>
      <c r="E134" s="1" t="n">
        <v>46223</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12546-2025</t>
        </is>
      </c>
      <c r="B135" t="inlineStr">
        <is>
          <t>avverkningsanmälan</t>
        </is>
      </c>
      <c r="C135" t="inlineStr">
        <is>
          <t>Avverkning för annat ändamål</t>
        </is>
      </c>
      <c r="D135" s="1" t="n">
        <v>45730</v>
      </c>
      <c r="E135" s="1" t="n">
        <v>46223</v>
      </c>
      <c r="F135" t="inlineStr">
        <is>
          <t>SÖDERMANLANDS LÄN</t>
        </is>
      </c>
      <c r="G135" t="inlineStr">
        <is>
          <t>STRÄNGNÄS</t>
        </is>
      </c>
      <c r="I135" t="n">
        <v>9</v>
      </c>
      <c r="J135" t="n">
        <v>0</v>
      </c>
      <c r="K135" t="n">
        <v>0</v>
      </c>
      <c r="L135" t="n">
        <v>0</v>
      </c>
      <c r="M135" t="n">
        <v>0</v>
      </c>
      <c r="N135" t="n">
        <v>0</v>
      </c>
      <c r="O135" t="n">
        <v>0</v>
      </c>
      <c r="P135" t="n">
        <v>0</v>
      </c>
      <c r="Q135" t="n">
        <v>0</v>
      </c>
      <c r="R135" t="n">
        <v>0</v>
      </c>
      <c r="S135" t="n">
        <v>0</v>
      </c>
      <c r="T135" t="n">
        <v>0</v>
      </c>
      <c r="U135" s="2" t="inlineStr"/>
    </row>
    <row r="136" ht="15" customHeight="1">
      <c r="A136" t="inlineStr">
        <is>
          <t>A 1305-2023</t>
        </is>
      </c>
      <c r="B136" t="inlineStr">
        <is>
          <t>avverkningsanmälan</t>
        </is>
      </c>
      <c r="C136" t="inlineStr">
        <is>
          <t>Föryngringsavverkning</t>
        </is>
      </c>
      <c r="D136" s="1" t="n">
        <v>44936</v>
      </c>
      <c r="E136" s="1" t="n">
        <v>46223</v>
      </c>
      <c r="F136" t="inlineStr">
        <is>
          <t>SÖDERMANLANDS LÄN</t>
        </is>
      </c>
      <c r="G136" t="inlineStr">
        <is>
          <t>STRÄNGNÄS</t>
        </is>
      </c>
      <c r="I136" t="n">
        <v>6</v>
      </c>
      <c r="J136" t="n">
        <v>0</v>
      </c>
      <c r="K136" t="n">
        <v>0</v>
      </c>
      <c r="L136" t="n">
        <v>0</v>
      </c>
      <c r="M136" t="n">
        <v>0</v>
      </c>
      <c r="N136" t="n">
        <v>0</v>
      </c>
      <c r="O136" t="n">
        <v>0</v>
      </c>
      <c r="P136" t="n">
        <v>0</v>
      </c>
      <c r="Q136" t="n">
        <v>0</v>
      </c>
      <c r="R136" t="n">
        <v>0</v>
      </c>
      <c r="S136" t="n">
        <v>0</v>
      </c>
      <c r="T136" t="n">
        <v>0</v>
      </c>
      <c r="U136" s="2" t="inlineStr"/>
    </row>
    <row r="137" ht="15" customHeight="1">
      <c r="A137" t="inlineStr">
        <is>
          <t>A 15397-2022</t>
        </is>
      </c>
      <c r="B137" t="inlineStr">
        <is>
          <t>avverkningsanmälan</t>
        </is>
      </c>
      <c r="C137" t="inlineStr">
        <is>
          <t>Föryngringsavverkning</t>
        </is>
      </c>
      <c r="D137" s="1" t="n">
        <v>44659</v>
      </c>
      <c r="E137" s="1" t="n">
        <v>46223</v>
      </c>
      <c r="F137" t="inlineStr">
        <is>
          <t>SÖDERMANLANDS LÄN</t>
        </is>
      </c>
      <c r="G137" t="inlineStr">
        <is>
          <t>STRÄNGNÄS</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30622-2025</t>
        </is>
      </c>
      <c r="B138" t="inlineStr">
        <is>
          <t>avverkningsanmälan</t>
        </is>
      </c>
      <c r="C138" t="inlineStr">
        <is>
          <t>Föryngringsavverkning</t>
        </is>
      </c>
      <c r="D138" s="1" t="n">
        <v>45831</v>
      </c>
      <c r="E138" s="1" t="n">
        <v>46223</v>
      </c>
      <c r="F138" t="inlineStr">
        <is>
          <t>SÖDERMANLANDS LÄN</t>
        </is>
      </c>
      <c r="G138" t="inlineStr">
        <is>
          <t>STRÄNGNÄS</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48823-2023</t>
        </is>
      </c>
      <c r="B139" t="inlineStr">
        <is>
          <t>avverkningsanmälan</t>
        </is>
      </c>
      <c r="C139" t="inlineStr">
        <is>
          <t>Avverkning för att bevara och utveckla /försöksver</t>
        </is>
      </c>
      <c r="D139" s="1" t="n">
        <v>45209</v>
      </c>
      <c r="E139" s="1" t="n">
        <v>46223</v>
      </c>
      <c r="F139" t="inlineStr">
        <is>
          <t>SÖDERMANLANDS LÄN</t>
        </is>
      </c>
      <c r="G139" t="inlineStr">
        <is>
          <t>STRÄNGNÄS</t>
        </is>
      </c>
      <c r="H139" t="inlineStr">
        <is>
          <t>Sveaskog</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48886-2023</t>
        </is>
      </c>
      <c r="B140" t="inlineStr">
        <is>
          <t>avverkningsanmälan</t>
        </is>
      </c>
      <c r="C140" t="inlineStr">
        <is>
          <t>Föryngringsavverkning</t>
        </is>
      </c>
      <c r="D140" s="1" t="n">
        <v>45209</v>
      </c>
      <c r="E140" s="1" t="n">
        <v>46223</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43412-2021</t>
        </is>
      </c>
      <c r="B141" t="inlineStr">
        <is>
          <t>avverkningsanmälan</t>
        </is>
      </c>
      <c r="C141" t="inlineStr">
        <is>
          <t>Föryngringsavverkning</t>
        </is>
      </c>
      <c r="D141" s="1" t="n">
        <v>44432</v>
      </c>
      <c r="E141" s="1" t="n">
        <v>46223</v>
      </c>
      <c r="F141" t="inlineStr">
        <is>
          <t>SÖDERMANLANDS LÄN</t>
        </is>
      </c>
      <c r="G141" t="inlineStr">
        <is>
          <t>STRÄNGNÄS</t>
        </is>
      </c>
      <c r="I141" t="n">
        <v>10</v>
      </c>
      <c r="J141" t="n">
        <v>0</v>
      </c>
      <c r="K141" t="n">
        <v>0</v>
      </c>
      <c r="L141" t="n">
        <v>0</v>
      </c>
      <c r="M141" t="n">
        <v>0</v>
      </c>
      <c r="N141" t="n">
        <v>0</v>
      </c>
      <c r="O141" t="n">
        <v>0</v>
      </c>
      <c r="P141" t="n">
        <v>0</v>
      </c>
      <c r="Q141" t="n">
        <v>0</v>
      </c>
      <c r="R141" t="n">
        <v>0</v>
      </c>
      <c r="S141" t="n">
        <v>0</v>
      </c>
      <c r="T141" t="n">
        <v>0</v>
      </c>
      <c r="U141" s="2" t="inlineStr"/>
    </row>
    <row r="142" ht="15" customHeight="1">
      <c r="A142" t="inlineStr">
        <is>
          <t>A 54656-2023</t>
        </is>
      </c>
      <c r="B142" t="inlineStr">
        <is>
          <t>avverkningsanmälan</t>
        </is>
      </c>
      <c r="C142" t="inlineStr">
        <is>
          <t>Avverkning för att bevara och utveckla /försöksver</t>
        </is>
      </c>
      <c r="D142" s="1" t="n">
        <v>45235</v>
      </c>
      <c r="E142" s="1" t="n">
        <v>46223</v>
      </c>
      <c r="F142" t="inlineStr">
        <is>
          <t>SÖDERMANLANDS LÄN</t>
        </is>
      </c>
      <c r="G142" t="inlineStr">
        <is>
          <t>STRÄNGNÄS</t>
        </is>
      </c>
      <c r="I142" t="n">
        <v>3.4</v>
      </c>
      <c r="J142" t="n">
        <v>0</v>
      </c>
      <c r="K142" t="n">
        <v>0</v>
      </c>
      <c r="L142" t="n">
        <v>0</v>
      </c>
      <c r="M142" t="n">
        <v>0</v>
      </c>
      <c r="N142" t="n">
        <v>0</v>
      </c>
      <c r="O142" t="n">
        <v>0</v>
      </c>
      <c r="P142" t="n">
        <v>0</v>
      </c>
      <c r="Q142" t="n">
        <v>0</v>
      </c>
      <c r="R142" t="n">
        <v>0</v>
      </c>
      <c r="S142" t="n">
        <v>0</v>
      </c>
      <c r="T142" t="n">
        <v>0</v>
      </c>
      <c r="U142" s="2" t="inlineStr"/>
    </row>
    <row r="143" ht="15" customHeight="1">
      <c r="A143" t="inlineStr">
        <is>
          <t>A 39448-2024</t>
        </is>
      </c>
      <c r="B143" t="inlineStr">
        <is>
          <t>avverkningsanmälan</t>
        </is>
      </c>
      <c r="C143" t="inlineStr">
        <is>
          <t>Föryngringsavverkning</t>
        </is>
      </c>
      <c r="D143" s="1" t="n">
        <v>45551</v>
      </c>
      <c r="E143" s="1" t="n">
        <v>46223</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32627-2025</t>
        </is>
      </c>
      <c r="B144" t="inlineStr">
        <is>
          <t>avverkningsanmälan</t>
        </is>
      </c>
      <c r="C144" t="inlineStr">
        <is>
          <t>Föryngringsavverkning</t>
        </is>
      </c>
      <c r="D144" s="1" t="n">
        <v>45838</v>
      </c>
      <c r="E144" s="1" t="n">
        <v>46223</v>
      </c>
      <c r="F144" t="inlineStr">
        <is>
          <t>SÖDERMANLANDS LÄN</t>
        </is>
      </c>
      <c r="G144" t="inlineStr">
        <is>
          <t>STRÄNGNÄS</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24980-2025</t>
        </is>
      </c>
      <c r="B145" t="inlineStr">
        <is>
          <t>avverkningsanmälan</t>
        </is>
      </c>
      <c r="C145" t="inlineStr">
        <is>
          <t>Avverkning för annat ändamål</t>
        </is>
      </c>
      <c r="D145" s="1" t="n">
        <v>45799</v>
      </c>
      <c r="E145" s="1" t="n">
        <v>46223</v>
      </c>
      <c r="F145" t="inlineStr">
        <is>
          <t>SÖDERMANLANDS LÄN</t>
        </is>
      </c>
      <c r="G145" t="inlineStr">
        <is>
          <t>STRÄNGNÄS</t>
        </is>
      </c>
      <c r="H145" t="inlineStr">
        <is>
          <t>Övriga Aktiebolag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3773-2025</t>
        </is>
      </c>
      <c r="B146" t="inlineStr">
        <is>
          <t>avverkningsanmälan</t>
        </is>
      </c>
      <c r="C146" t="inlineStr">
        <is>
          <t>Föryngringsavverkning</t>
        </is>
      </c>
      <c r="D146" s="1" t="n">
        <v>45681</v>
      </c>
      <c r="E146" s="1" t="n">
        <v>46223</v>
      </c>
      <c r="F146" t="inlineStr">
        <is>
          <t>SÖDERMANLANDS LÄN</t>
        </is>
      </c>
      <c r="G146" t="inlineStr">
        <is>
          <t>STRÄNGNÄS</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11690-2023</t>
        </is>
      </c>
      <c r="B147" t="inlineStr">
        <is>
          <t>avverkningsanmälan</t>
        </is>
      </c>
      <c r="C147" t="inlineStr">
        <is>
          <t>Föryngringsavverkning</t>
        </is>
      </c>
      <c r="D147" s="1" t="n">
        <v>44992</v>
      </c>
      <c r="E147" s="1" t="n">
        <v>46223</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s="2" t="inlineStr"/>
    </row>
    <row r="148" ht="15" customHeight="1">
      <c r="A148" t="inlineStr">
        <is>
          <t>A 3118-2023</t>
        </is>
      </c>
      <c r="B148" t="inlineStr">
        <is>
          <t>avverkningsanmälan</t>
        </is>
      </c>
      <c r="C148" t="inlineStr">
        <is>
          <t>Föryngringsavverkning</t>
        </is>
      </c>
      <c r="D148" s="1" t="n">
        <v>44946</v>
      </c>
      <c r="E148" s="1" t="n">
        <v>46223</v>
      </c>
      <c r="F148" t="inlineStr">
        <is>
          <t>SÖDERMANLANDS LÄN</t>
        </is>
      </c>
      <c r="G148" t="inlineStr">
        <is>
          <t>STRÄNGNÄS</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3733-2026</t>
        </is>
      </c>
      <c r="B149" t="inlineStr">
        <is>
          <t>avverkningsanmälan</t>
        </is>
      </c>
      <c r="C149" t="inlineStr">
        <is>
          <t>Föryngringsavverkning</t>
        </is>
      </c>
      <c r="D149" s="1" t="n">
        <v>46043</v>
      </c>
      <c r="E149" s="1" t="n">
        <v>46223</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35370-2025</t>
        </is>
      </c>
      <c r="B150" t="inlineStr">
        <is>
          <t>avverkningsanmälan</t>
        </is>
      </c>
      <c r="C150" t="inlineStr">
        <is>
          <t>Föryngringsavverkning</t>
        </is>
      </c>
      <c r="D150" s="1" t="n">
        <v>45854</v>
      </c>
      <c r="E150" s="1" t="n">
        <v>46223</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30477-2024</t>
        </is>
      </c>
      <c r="B151" t="inlineStr">
        <is>
          <t>avverkningsanmälan</t>
        </is>
      </c>
      <c r="C151" t="inlineStr">
        <is>
          <t>Avverkning för annat ändamål</t>
        </is>
      </c>
      <c r="D151" s="1" t="n">
        <v>45491</v>
      </c>
      <c r="E151" s="1" t="n">
        <v>46223</v>
      </c>
      <c r="F151" t="inlineStr">
        <is>
          <t>SÖDERMANLANDS LÄN</t>
        </is>
      </c>
      <c r="G151" t="inlineStr">
        <is>
          <t>STRÄNGNÄS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12123-2023</t>
        </is>
      </c>
      <c r="B152" t="inlineStr">
        <is>
          <t>avverkningsanmälan</t>
        </is>
      </c>
      <c r="C152" t="inlineStr">
        <is>
          <t>Föryngringsavverkning</t>
        </is>
      </c>
      <c r="D152" s="1" t="n">
        <v>44998</v>
      </c>
      <c r="E152" s="1" t="n">
        <v>46223</v>
      </c>
      <c r="F152" t="inlineStr">
        <is>
          <t>SÖDERMANLANDS LÄN</t>
        </is>
      </c>
      <c r="G152" t="inlineStr">
        <is>
          <t>STRÄNGNÄS</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866-2023</t>
        </is>
      </c>
      <c r="B153" t="inlineStr">
        <is>
          <t>avverkningsanmälan</t>
        </is>
      </c>
      <c r="C153" t="inlineStr">
        <is>
          <t>Föryngringsavverkning</t>
        </is>
      </c>
      <c r="D153" s="1" t="n">
        <v>44931</v>
      </c>
      <c r="E153" s="1" t="n">
        <v>46223</v>
      </c>
      <c r="F153" t="inlineStr">
        <is>
          <t>SÖDERMANLANDS LÄN</t>
        </is>
      </c>
      <c r="G153" t="inlineStr">
        <is>
          <t>STRÄNGNÄS</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60764-2021</t>
        </is>
      </c>
      <c r="B154" t="inlineStr">
        <is>
          <t>avverkningsanmälan</t>
        </is>
      </c>
      <c r="C154" t="inlineStr">
        <is>
          <t>Föryngringsavverkning</t>
        </is>
      </c>
      <c r="D154" s="1" t="n">
        <v>44496</v>
      </c>
      <c r="E154" s="1" t="n">
        <v>46223</v>
      </c>
      <c r="F154" t="inlineStr">
        <is>
          <t>SÖDERMANLANDS LÄN</t>
        </is>
      </c>
      <c r="G154" t="inlineStr">
        <is>
          <t>STRÄNGNÄS</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10867-2023</t>
        </is>
      </c>
      <c r="B155" t="inlineStr">
        <is>
          <t>avverkningsanmälan</t>
        </is>
      </c>
      <c r="C155" t="inlineStr">
        <is>
          <t>Föryngringsavverkning</t>
        </is>
      </c>
      <c r="D155" s="1" t="n">
        <v>44991</v>
      </c>
      <c r="E155" s="1" t="n">
        <v>46223</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36440-2025</t>
        </is>
      </c>
      <c r="B156" t="inlineStr">
        <is>
          <t>avverkningsanmälan</t>
        </is>
      </c>
      <c r="C156" t="inlineStr">
        <is>
          <t>Föryngringsavverkning</t>
        </is>
      </c>
      <c r="D156" s="1" t="n">
        <v>45869</v>
      </c>
      <c r="E156" s="1" t="n">
        <v>46223</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1256-2023</t>
        </is>
      </c>
      <c r="B157" t="inlineStr">
        <is>
          <t>avverkningsanmälan</t>
        </is>
      </c>
      <c r="C157" t="inlineStr">
        <is>
          <t>Föryngringsavverkning</t>
        </is>
      </c>
      <c r="D157" s="1" t="n">
        <v>44936</v>
      </c>
      <c r="E157" s="1" t="n">
        <v>46223</v>
      </c>
      <c r="F157" t="inlineStr">
        <is>
          <t>SÖDERMANLANDS LÄN</t>
        </is>
      </c>
      <c r="G157" t="inlineStr">
        <is>
          <t>STRÄNGNÄS</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21126-2023</t>
        </is>
      </c>
      <c r="B158" t="inlineStr">
        <is>
          <t>avverkningsanmälan</t>
        </is>
      </c>
      <c r="C158" t="inlineStr">
        <is>
          <t>Föryngringsavverkning</t>
        </is>
      </c>
      <c r="D158" s="1" t="n">
        <v>45057</v>
      </c>
      <c r="E158" s="1" t="n">
        <v>46223</v>
      </c>
      <c r="F158" t="inlineStr">
        <is>
          <t>SÖDERMANLANDS LÄN</t>
        </is>
      </c>
      <c r="G158" t="inlineStr">
        <is>
          <t>STRÄNGNÄS</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38198-2025</t>
        </is>
      </c>
      <c r="B159" t="inlineStr">
        <is>
          <t>avverkningsanmälan</t>
        </is>
      </c>
      <c r="C159" t="inlineStr">
        <is>
          <t>Föryngringsavverkning</t>
        </is>
      </c>
      <c r="D159" s="1" t="n">
        <v>45882</v>
      </c>
      <c r="E159" s="1" t="n">
        <v>46223</v>
      </c>
      <c r="F159" t="inlineStr">
        <is>
          <t>SÖDERMANLANDS LÄN</t>
        </is>
      </c>
      <c r="G159" t="inlineStr">
        <is>
          <t>STRÄNGNÄS</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52712-2025</t>
        </is>
      </c>
      <c r="B160" t="inlineStr">
        <is>
          <t>avverkningsanmälan</t>
        </is>
      </c>
      <c r="C160" t="inlineStr">
        <is>
          <t>Föryngringsavverkning</t>
        </is>
      </c>
      <c r="D160" s="1" t="n">
        <v>45957</v>
      </c>
      <c r="E160" s="1" t="n">
        <v>46223</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71391-2021</t>
        </is>
      </c>
      <c r="B161" t="inlineStr">
        <is>
          <t>avverkningsanmälan</t>
        </is>
      </c>
      <c r="C161" t="inlineStr">
        <is>
          <t>Föryngringsavverkning</t>
        </is>
      </c>
      <c r="D161" s="1" t="n">
        <v>44540</v>
      </c>
      <c r="E161" s="1" t="n">
        <v>46223</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22459-2022</t>
        </is>
      </c>
      <c r="B162" t="inlineStr">
        <is>
          <t>avverkningsanmälan</t>
        </is>
      </c>
      <c r="C162" t="inlineStr">
        <is>
          <t>Föryngringsavverkning</t>
        </is>
      </c>
      <c r="D162" s="1" t="n">
        <v>44713</v>
      </c>
      <c r="E162" s="1" t="n">
        <v>46223</v>
      </c>
      <c r="F162" t="inlineStr">
        <is>
          <t>SÖDERMANLANDS LÄN</t>
        </is>
      </c>
      <c r="G162" t="inlineStr">
        <is>
          <t>STRÄNGNÄS</t>
        </is>
      </c>
      <c r="H162" t="inlineStr">
        <is>
          <t>Övriga Aktiebolag</t>
        </is>
      </c>
      <c r="I162" t="n">
        <v>3.8</v>
      </c>
      <c r="J162" t="n">
        <v>0</v>
      </c>
      <c r="K162" t="n">
        <v>0</v>
      </c>
      <c r="L162" t="n">
        <v>0</v>
      </c>
      <c r="M162" t="n">
        <v>0</v>
      </c>
      <c r="N162" t="n">
        <v>0</v>
      </c>
      <c r="O162" t="n">
        <v>0</v>
      </c>
      <c r="P162" t="n">
        <v>0</v>
      </c>
      <c r="Q162" t="n">
        <v>0</v>
      </c>
      <c r="R162" t="n">
        <v>0</v>
      </c>
      <c r="S162" t="n">
        <v>0</v>
      </c>
      <c r="T162" t="n">
        <v>0</v>
      </c>
      <c r="U162" s="2" t="inlineStr"/>
    </row>
    <row r="163" ht="15" customHeight="1">
      <c r="A163" t="inlineStr">
        <is>
          <t>A 32079-2024</t>
        </is>
      </c>
      <c r="B163" t="inlineStr">
        <is>
          <t>avverkningsanmälan</t>
        </is>
      </c>
      <c r="C163" t="inlineStr">
        <is>
          <t>Föryngringsavverkning</t>
        </is>
      </c>
      <c r="D163" s="1" t="n">
        <v>45511</v>
      </c>
      <c r="E163" s="1" t="n">
        <v>46223</v>
      </c>
      <c r="F163" t="inlineStr">
        <is>
          <t>SÖDERMANLANDS LÄN</t>
        </is>
      </c>
      <c r="G163" t="inlineStr">
        <is>
          <t>STRÄNGNÄS</t>
        </is>
      </c>
      <c r="I163" t="n">
        <v>3.2</v>
      </c>
      <c r="J163" t="n">
        <v>0</v>
      </c>
      <c r="K163" t="n">
        <v>0</v>
      </c>
      <c r="L163" t="n">
        <v>0</v>
      </c>
      <c r="M163" t="n">
        <v>0</v>
      </c>
      <c r="N163" t="n">
        <v>0</v>
      </c>
      <c r="O163" t="n">
        <v>0</v>
      </c>
      <c r="P163" t="n">
        <v>0</v>
      </c>
      <c r="Q163" t="n">
        <v>0</v>
      </c>
      <c r="R163" t="n">
        <v>0</v>
      </c>
      <c r="S163" t="n">
        <v>0</v>
      </c>
      <c r="T163" t="n">
        <v>0</v>
      </c>
      <c r="U163" s="2" t="inlineStr"/>
    </row>
    <row r="164" ht="15" customHeight="1">
      <c r="A164" t="inlineStr">
        <is>
          <t>A 42806-2023</t>
        </is>
      </c>
      <c r="B164" t="inlineStr">
        <is>
          <t>avverkningsanmälan</t>
        </is>
      </c>
      <c r="C164" t="inlineStr">
        <is>
          <t>Föryngringsavverkning</t>
        </is>
      </c>
      <c r="D164" s="1" t="n">
        <v>45182</v>
      </c>
      <c r="E164" s="1" t="n">
        <v>46223</v>
      </c>
      <c r="F164" t="inlineStr">
        <is>
          <t>SÖDERMANLANDS LÄN</t>
        </is>
      </c>
      <c r="G164" t="inlineStr">
        <is>
          <t>STRÄNGNÄS</t>
        </is>
      </c>
      <c r="I164" t="n">
        <v>4.7</v>
      </c>
      <c r="J164" t="n">
        <v>0</v>
      </c>
      <c r="K164" t="n">
        <v>0</v>
      </c>
      <c r="L164" t="n">
        <v>0</v>
      </c>
      <c r="M164" t="n">
        <v>0</v>
      </c>
      <c r="N164" t="n">
        <v>0</v>
      </c>
      <c r="O164" t="n">
        <v>0</v>
      </c>
      <c r="P164" t="n">
        <v>0</v>
      </c>
      <c r="Q164" t="n">
        <v>0</v>
      </c>
      <c r="R164" t="n">
        <v>0</v>
      </c>
      <c r="S164" t="n">
        <v>0</v>
      </c>
      <c r="T164" t="n">
        <v>0</v>
      </c>
      <c r="U164" s="2" t="inlineStr"/>
    </row>
    <row r="165" ht="15" customHeight="1">
      <c r="A165" t="inlineStr">
        <is>
          <t>A 20167-2023</t>
        </is>
      </c>
      <c r="B165" t="inlineStr">
        <is>
          <t>avverkningsanmälan</t>
        </is>
      </c>
      <c r="C165" t="inlineStr">
        <is>
          <t>Föryngringsavverkning</t>
        </is>
      </c>
      <c r="D165" s="1" t="n">
        <v>45051</v>
      </c>
      <c r="E165" s="1" t="n">
        <v>46223</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37429-2021</t>
        </is>
      </c>
      <c r="B166" t="inlineStr">
        <is>
          <t>avverkningsanmälan</t>
        </is>
      </c>
      <c r="C166" t="inlineStr">
        <is>
          <t>Föryngringsavverkning</t>
        </is>
      </c>
      <c r="D166" s="1" t="n">
        <v>44398</v>
      </c>
      <c r="E166" s="1" t="n">
        <v>46223</v>
      </c>
      <c r="F166" t="inlineStr">
        <is>
          <t>SÖDERMANLANDS LÄN</t>
        </is>
      </c>
      <c r="G166" t="inlineStr">
        <is>
          <t>STRÄNGNÄS</t>
        </is>
      </c>
      <c r="H166" t="inlineStr">
        <is>
          <t>Sveaskog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37431-2021</t>
        </is>
      </c>
      <c r="B167" t="inlineStr">
        <is>
          <t>avverkningsanmälan</t>
        </is>
      </c>
      <c r="C167" t="inlineStr">
        <is>
          <t>Föryngringsavverkning</t>
        </is>
      </c>
      <c r="D167" s="1" t="n">
        <v>44398</v>
      </c>
      <c r="E167" s="1" t="n">
        <v>46223</v>
      </c>
      <c r="F167" t="inlineStr">
        <is>
          <t>SÖDERMANLANDS LÄN</t>
        </is>
      </c>
      <c r="G167" t="inlineStr">
        <is>
          <t>STRÄNGNÄS</t>
        </is>
      </c>
      <c r="H167" t="inlineStr">
        <is>
          <t>Sveaskog</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10121-2026</t>
        </is>
      </c>
      <c r="B168" t="inlineStr">
        <is>
          <t>avverkningsanmälan</t>
        </is>
      </c>
      <c r="C168" t="inlineStr">
        <is>
          <t>Föryngringsavverkning</t>
        </is>
      </c>
      <c r="D168" s="1" t="n">
        <v>46075</v>
      </c>
      <c r="E168" s="1" t="n">
        <v>46223</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9942-2026</t>
        </is>
      </c>
      <c r="B169" t="inlineStr">
        <is>
          <t>avverkningsanmälan</t>
        </is>
      </c>
      <c r="C169" t="inlineStr">
        <is>
          <t>Föryngringsavverkning</t>
        </is>
      </c>
      <c r="D169" s="1" t="n">
        <v>46073</v>
      </c>
      <c r="E169" s="1" t="n">
        <v>46223</v>
      </c>
      <c r="F169" t="inlineStr">
        <is>
          <t>SÖDERMANLANDS LÄN</t>
        </is>
      </c>
      <c r="G169" t="inlineStr">
        <is>
          <t>STRÄNGNÄS</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4335-2023</t>
        </is>
      </c>
      <c r="B170" t="inlineStr">
        <is>
          <t>avverkningsanmälan</t>
        </is>
      </c>
      <c r="C170" t="inlineStr">
        <is>
          <t>Föryngringsavverkning</t>
        </is>
      </c>
      <c r="D170" s="1" t="n">
        <v>44953</v>
      </c>
      <c r="E170" s="1" t="n">
        <v>46223</v>
      </c>
      <c r="F170" t="inlineStr">
        <is>
          <t>SÖDERMANLANDS LÄN</t>
        </is>
      </c>
      <c r="G170" t="inlineStr">
        <is>
          <t>STRÄNGNÄS</t>
        </is>
      </c>
      <c r="H170" t="inlineStr">
        <is>
          <t>Allmännings- och besparingsskogar</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10770-2026</t>
        </is>
      </c>
      <c r="B171" t="inlineStr">
        <is>
          <t>avverkningsanmälan</t>
        </is>
      </c>
      <c r="C171" t="inlineStr">
        <is>
          <t>Föryngringsavverkning</t>
        </is>
      </c>
      <c r="D171" s="1" t="n">
        <v>46078</v>
      </c>
      <c r="E171" s="1" t="n">
        <v>46223</v>
      </c>
      <c r="F171" t="inlineStr">
        <is>
          <t>SÖDERMANLANDS LÄN</t>
        </is>
      </c>
      <c r="G171" t="inlineStr">
        <is>
          <t>STRÄNGNÄS</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54451-2025</t>
        </is>
      </c>
      <c r="B172" t="inlineStr">
        <is>
          <t>avverkningsanmälan</t>
        </is>
      </c>
      <c r="C172" t="inlineStr">
        <is>
          <t>Föryngringsavverkning</t>
        </is>
      </c>
      <c r="D172" s="1" t="n">
        <v>45965</v>
      </c>
      <c r="E172" s="1" t="n">
        <v>46223</v>
      </c>
      <c r="F172" t="inlineStr">
        <is>
          <t>SÖDERMANLANDS LÄN</t>
        </is>
      </c>
      <c r="G172" t="inlineStr">
        <is>
          <t>STRÄNGNÄS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56124-2025</t>
        </is>
      </c>
      <c r="B173" t="inlineStr">
        <is>
          <t>avverkningsanmälan</t>
        </is>
      </c>
      <c r="C173" t="inlineStr">
        <is>
          <t>Avverkning för annat ändamål</t>
        </is>
      </c>
      <c r="D173" s="1" t="n">
        <v>45973</v>
      </c>
      <c r="E173" s="1" t="n">
        <v>46223</v>
      </c>
      <c r="F173" t="inlineStr">
        <is>
          <t>SÖDERMANLANDS LÄN</t>
        </is>
      </c>
      <c r="G173" t="inlineStr">
        <is>
          <t>STRÄNGNÄS</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13807-2023</t>
        </is>
      </c>
      <c r="B174" t="inlineStr">
        <is>
          <t>avverkningsanmälan</t>
        </is>
      </c>
      <c r="C174" t="inlineStr">
        <is>
          <t>Föryngringsavverkning</t>
        </is>
      </c>
      <c r="D174" s="1" t="n">
        <v>45007</v>
      </c>
      <c r="E174" s="1" t="n">
        <v>46223</v>
      </c>
      <c r="F174" t="inlineStr">
        <is>
          <t>SÖDERMANLANDS LÄN</t>
        </is>
      </c>
      <c r="G174" t="inlineStr">
        <is>
          <t>STRÄNGNÄS</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57150-2025</t>
        </is>
      </c>
      <c r="B175" t="inlineStr">
        <is>
          <t>avverkningsanmälan</t>
        </is>
      </c>
      <c r="C175" t="inlineStr">
        <is>
          <t>Föryngringsavverkning</t>
        </is>
      </c>
      <c r="D175" s="1" t="n">
        <v>45979</v>
      </c>
      <c r="E175" s="1" t="n">
        <v>46223</v>
      </c>
      <c r="F175" t="inlineStr">
        <is>
          <t>SÖDERMANLANDS LÄN</t>
        </is>
      </c>
      <c r="G175" t="inlineStr">
        <is>
          <t>STRÄNGNÄS</t>
        </is>
      </c>
      <c r="I175" t="n">
        <v>13.8</v>
      </c>
      <c r="J175" t="n">
        <v>0</v>
      </c>
      <c r="K175" t="n">
        <v>0</v>
      </c>
      <c r="L175" t="n">
        <v>0</v>
      </c>
      <c r="M175" t="n">
        <v>0</v>
      </c>
      <c r="N175" t="n">
        <v>0</v>
      </c>
      <c r="O175" t="n">
        <v>0</v>
      </c>
      <c r="P175" t="n">
        <v>0</v>
      </c>
      <c r="Q175" t="n">
        <v>0</v>
      </c>
      <c r="R175" t="n">
        <v>0</v>
      </c>
      <c r="S175" t="n">
        <v>0</v>
      </c>
      <c r="T175" t="n">
        <v>0</v>
      </c>
      <c r="U175" s="2" t="inlineStr"/>
    </row>
    <row r="176" ht="15" customHeight="1">
      <c r="A176" t="inlineStr">
        <is>
          <t>A 58092-2023</t>
        </is>
      </c>
      <c r="B176" t="inlineStr">
        <is>
          <t>avverkningsanmälan</t>
        </is>
      </c>
      <c r="C176" t="inlineStr">
        <is>
          <t>Avverkning för att bevara och utveckla /försöksver</t>
        </is>
      </c>
      <c r="D176" s="1" t="n">
        <v>45248</v>
      </c>
      <c r="E176" s="1" t="n">
        <v>46223</v>
      </c>
      <c r="F176" t="inlineStr">
        <is>
          <t>SÖDERMANLANDS LÄN</t>
        </is>
      </c>
      <c r="G176" t="inlineStr">
        <is>
          <t>STRÄNGNÄS</t>
        </is>
      </c>
      <c r="I176" t="n">
        <v>28.5</v>
      </c>
      <c r="J176" t="n">
        <v>0</v>
      </c>
      <c r="K176" t="n">
        <v>0</v>
      </c>
      <c r="L176" t="n">
        <v>0</v>
      </c>
      <c r="M176" t="n">
        <v>0</v>
      </c>
      <c r="N176" t="n">
        <v>0</v>
      </c>
      <c r="O176" t="n">
        <v>0</v>
      </c>
      <c r="P176" t="n">
        <v>0</v>
      </c>
      <c r="Q176" t="n">
        <v>0</v>
      </c>
      <c r="R176" t="n">
        <v>0</v>
      </c>
      <c r="S176" t="n">
        <v>0</v>
      </c>
      <c r="T176" t="n">
        <v>0</v>
      </c>
      <c r="U176" s="2" t="inlineStr"/>
    </row>
    <row r="177" ht="15" customHeight="1">
      <c r="A177" t="inlineStr">
        <is>
          <t>A 864-2023</t>
        </is>
      </c>
      <c r="B177" t="inlineStr">
        <is>
          <t>avverkningsanmälan</t>
        </is>
      </c>
      <c r="C177" t="inlineStr">
        <is>
          <t>Föryngringsavverkning</t>
        </is>
      </c>
      <c r="D177" s="1" t="n">
        <v>44931</v>
      </c>
      <c r="E177" s="1" t="n">
        <v>46223</v>
      </c>
      <c r="F177" t="inlineStr">
        <is>
          <t>SÖDERMANLANDS LÄN</t>
        </is>
      </c>
      <c r="G177" t="inlineStr">
        <is>
          <t>STRÄNGNÄS</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58935-2025</t>
        </is>
      </c>
      <c r="B178" t="inlineStr">
        <is>
          <t>avverkningsanmälan</t>
        </is>
      </c>
      <c r="C178" t="inlineStr">
        <is>
          <t>Föryngringsavverkning</t>
        </is>
      </c>
      <c r="D178" s="1" t="n">
        <v>45986</v>
      </c>
      <c r="E178" s="1" t="n">
        <v>46223</v>
      </c>
      <c r="F178" t="inlineStr">
        <is>
          <t>SÖDERMANLANDS LÄN</t>
        </is>
      </c>
      <c r="G178" t="inlineStr">
        <is>
          <t>STRÄNGNÄS</t>
        </is>
      </c>
      <c r="I178" t="n">
        <v>6.6</v>
      </c>
      <c r="J178" t="n">
        <v>0</v>
      </c>
      <c r="K178" t="n">
        <v>0</v>
      </c>
      <c r="L178" t="n">
        <v>0</v>
      </c>
      <c r="M178" t="n">
        <v>0</v>
      </c>
      <c r="N178" t="n">
        <v>0</v>
      </c>
      <c r="O178" t="n">
        <v>0</v>
      </c>
      <c r="P178" t="n">
        <v>0</v>
      </c>
      <c r="Q178" t="n">
        <v>0</v>
      </c>
      <c r="R178" t="n">
        <v>0</v>
      </c>
      <c r="S178" t="n">
        <v>0</v>
      </c>
      <c r="T178" t="n">
        <v>0</v>
      </c>
      <c r="U178" s="2" t="inlineStr"/>
    </row>
    <row r="179" ht="15" customHeight="1">
      <c r="A179" t="inlineStr">
        <is>
          <t>A 43946-2022</t>
        </is>
      </c>
      <c r="B179" t="inlineStr">
        <is>
          <t>avverkningsanmälan</t>
        </is>
      </c>
      <c r="C179" t="inlineStr">
        <is>
          <t>Föryngringsavverkning</t>
        </is>
      </c>
      <c r="D179" s="1" t="n">
        <v>44838</v>
      </c>
      <c r="E179" s="1" t="n">
        <v>46223</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15193-2023</t>
        </is>
      </c>
      <c r="B180" t="inlineStr">
        <is>
          <t>avverkningsanmälan</t>
        </is>
      </c>
      <c r="C180" t="inlineStr">
        <is>
          <t>Föryngringsavverkning</t>
        </is>
      </c>
      <c r="D180" s="1" t="n">
        <v>45016</v>
      </c>
      <c r="E180" s="1" t="n">
        <v>46223</v>
      </c>
      <c r="F180" t="inlineStr">
        <is>
          <t>SÖDERMANLANDS LÄN</t>
        </is>
      </c>
      <c r="G180" t="inlineStr">
        <is>
          <t>STRÄNGNÄS</t>
        </is>
      </c>
      <c r="I180" t="n">
        <v>7.6</v>
      </c>
      <c r="J180" t="n">
        <v>0</v>
      </c>
      <c r="K180" t="n">
        <v>0</v>
      </c>
      <c r="L180" t="n">
        <v>0</v>
      </c>
      <c r="M180" t="n">
        <v>0</v>
      </c>
      <c r="N180" t="n">
        <v>0</v>
      </c>
      <c r="O180" t="n">
        <v>0</v>
      </c>
      <c r="P180" t="n">
        <v>0</v>
      </c>
      <c r="Q180" t="n">
        <v>0</v>
      </c>
      <c r="R180" t="n">
        <v>0</v>
      </c>
      <c r="S180" t="n">
        <v>0</v>
      </c>
      <c r="T180" t="n">
        <v>0</v>
      </c>
      <c r="U180" s="2" t="inlineStr"/>
    </row>
    <row r="181" ht="15" customHeight="1">
      <c r="A181" t="inlineStr">
        <is>
          <t>A 12343-2026</t>
        </is>
      </c>
      <c r="B181" t="inlineStr">
        <is>
          <t>avverkningsanmälan</t>
        </is>
      </c>
      <c r="C181" t="inlineStr">
        <is>
          <t>Föryngringsavverkning</t>
        </is>
      </c>
      <c r="D181" s="1" t="n">
        <v>46087</v>
      </c>
      <c r="E181" s="1" t="n">
        <v>46223</v>
      </c>
      <c r="F181" t="inlineStr">
        <is>
          <t>SÖDERMANLANDS LÄN</t>
        </is>
      </c>
      <c r="G181" t="inlineStr">
        <is>
          <t>STRÄNGNÄS</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58936-2025</t>
        </is>
      </c>
      <c r="B182" t="inlineStr">
        <is>
          <t>avverkningsanmälan</t>
        </is>
      </c>
      <c r="C182" t="inlineStr">
        <is>
          <t>Föryngringsavverkning</t>
        </is>
      </c>
      <c r="D182" s="1" t="n">
        <v>45986</v>
      </c>
      <c r="E182" s="1" t="n">
        <v>46223</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52998-2025</t>
        </is>
      </c>
      <c r="B183" t="inlineStr">
        <is>
          <t>avverkningsanmälan</t>
        </is>
      </c>
      <c r="C183" t="inlineStr">
        <is>
          <t>Föryngringsavverkning</t>
        </is>
      </c>
      <c r="D183" s="1" t="n">
        <v>45957</v>
      </c>
      <c r="E183" s="1" t="n">
        <v>46223</v>
      </c>
      <c r="F183" t="inlineStr">
        <is>
          <t>SÖDERMANLANDS LÄN</t>
        </is>
      </c>
      <c r="G183" t="inlineStr">
        <is>
          <t>STRÄNGNÄS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23541-2023</t>
        </is>
      </c>
      <c r="B184" t="inlineStr">
        <is>
          <t>avverkningsanmälan</t>
        </is>
      </c>
      <c r="C184" t="inlineStr">
        <is>
          <t>Föryngringsavverkning</t>
        </is>
      </c>
      <c r="D184" s="1" t="n">
        <v>45077</v>
      </c>
      <c r="E184" s="1" t="n">
        <v>46223</v>
      </c>
      <c r="F184" t="inlineStr">
        <is>
          <t>SÖDERMANLANDS LÄN</t>
        </is>
      </c>
      <c r="G184" t="inlineStr">
        <is>
          <t>STRÄNGNÄS</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48827-2023</t>
        </is>
      </c>
      <c r="B185" t="inlineStr">
        <is>
          <t>avverkningsanmälan</t>
        </is>
      </c>
      <c r="C185" t="inlineStr">
        <is>
          <t>Föryngringsavverkning</t>
        </is>
      </c>
      <c r="D185" s="1" t="n">
        <v>45204</v>
      </c>
      <c r="E185" s="1" t="n">
        <v>46223</v>
      </c>
      <c r="F185" t="inlineStr">
        <is>
          <t>SÖDERMANLANDS LÄN</t>
        </is>
      </c>
      <c r="G185" t="inlineStr">
        <is>
          <t>STRÄNGNÄS</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48875-2023</t>
        </is>
      </c>
      <c r="B186" t="inlineStr">
        <is>
          <t>avverkningsanmälan</t>
        </is>
      </c>
      <c r="C186" t="inlineStr">
        <is>
          <t>Föryngringsavverkning</t>
        </is>
      </c>
      <c r="D186" s="1" t="n">
        <v>45204</v>
      </c>
      <c r="E186" s="1" t="n">
        <v>46223</v>
      </c>
      <c r="F186" t="inlineStr">
        <is>
          <t>SÖDERMANLANDS LÄN</t>
        </is>
      </c>
      <c r="G186" t="inlineStr">
        <is>
          <t>STRÄNGNÄS</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12619-2025</t>
        </is>
      </c>
      <c r="B187" t="inlineStr">
        <is>
          <t>avverkningsanmälan</t>
        </is>
      </c>
      <c r="C187" t="inlineStr">
        <is>
          <t>Föryngringsavverkning</t>
        </is>
      </c>
      <c r="D187" s="1" t="n">
        <v>45733</v>
      </c>
      <c r="E187" s="1" t="n">
        <v>46223</v>
      </c>
      <c r="F187" t="inlineStr">
        <is>
          <t>SÖDERMANLANDS LÄN</t>
        </is>
      </c>
      <c r="G187" t="inlineStr">
        <is>
          <t>STRÄNGNÄS</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60749-2021</t>
        </is>
      </c>
      <c r="B188" t="inlineStr">
        <is>
          <t>avverkningsanmälan</t>
        </is>
      </c>
      <c r="C188" t="inlineStr">
        <is>
          <t>Föryngringsavverkning</t>
        </is>
      </c>
      <c r="D188" s="1" t="n">
        <v>44496</v>
      </c>
      <c r="E188" s="1" t="n">
        <v>46223</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3824-2024</t>
        </is>
      </c>
      <c r="B189" t="inlineStr">
        <is>
          <t>avverkningsanmälan</t>
        </is>
      </c>
      <c r="C189" t="inlineStr">
        <is>
          <t>Föryngringsavverkning</t>
        </is>
      </c>
      <c r="D189" s="1" t="n">
        <v>45321</v>
      </c>
      <c r="E189" s="1" t="n">
        <v>46223</v>
      </c>
      <c r="F189" t="inlineStr">
        <is>
          <t>SÖDERMANLANDS LÄN</t>
        </is>
      </c>
      <c r="G189" t="inlineStr">
        <is>
          <t>STRÄNGNÄS</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41231-2025</t>
        </is>
      </c>
      <c r="B190" t="inlineStr">
        <is>
          <t>avverkningsanmälan</t>
        </is>
      </c>
      <c r="C190" t="inlineStr">
        <is>
          <t>Avverkning för annat ändamål</t>
        </is>
      </c>
      <c r="D190" s="1" t="n">
        <v>45898</v>
      </c>
      <c r="E190" s="1" t="n">
        <v>46223</v>
      </c>
      <c r="F190" t="inlineStr">
        <is>
          <t>SÖDERMANLANDS LÄN</t>
        </is>
      </c>
      <c r="G190" t="inlineStr">
        <is>
          <t>STRÄNGNÄS</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62988-2025</t>
        </is>
      </c>
      <c r="B191" t="inlineStr">
        <is>
          <t>avverkningsanmälan</t>
        </is>
      </c>
      <c r="C191" t="inlineStr">
        <is>
          <t>Föryngringsavverkning</t>
        </is>
      </c>
      <c r="D191" s="1" t="n">
        <v>46009</v>
      </c>
      <c r="E191" s="1" t="n">
        <v>46223</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22522-2023</t>
        </is>
      </c>
      <c r="B192" t="inlineStr">
        <is>
          <t>avverkningsanmälan</t>
        </is>
      </c>
      <c r="C192" t="inlineStr">
        <is>
          <t>Föryngringsavverkning</t>
        </is>
      </c>
      <c r="D192" s="1" t="n">
        <v>45071</v>
      </c>
      <c r="E192" s="1" t="n">
        <v>46223</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66296-2021</t>
        </is>
      </c>
      <c r="B193" t="inlineStr">
        <is>
          <t>avverkningsanmälan</t>
        </is>
      </c>
      <c r="C193" t="inlineStr">
        <is>
          <t>Föryngringsavverkning</t>
        </is>
      </c>
      <c r="D193" s="1" t="n">
        <v>44518</v>
      </c>
      <c r="E193" s="1" t="n">
        <v>46223</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s="2" t="inlineStr"/>
    </row>
    <row r="194" ht="15" customHeight="1">
      <c r="A194" t="inlineStr">
        <is>
          <t>A 41234-2025</t>
        </is>
      </c>
      <c r="B194" t="inlineStr">
        <is>
          <t>avverkningsanmälan</t>
        </is>
      </c>
      <c r="C194" t="inlineStr">
        <is>
          <t>Avverkning för annat ändamål</t>
        </is>
      </c>
      <c r="D194" s="1" t="n">
        <v>45898</v>
      </c>
      <c r="E194" s="1" t="n">
        <v>46223</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s="2" t="inlineStr"/>
    </row>
    <row r="195" ht="15" customHeight="1">
      <c r="A195" t="inlineStr">
        <is>
          <t>A 58241-2022</t>
        </is>
      </c>
      <c r="B195" t="inlineStr">
        <is>
          <t>avverkningsanmälan</t>
        </is>
      </c>
      <c r="C195" t="inlineStr">
        <is>
          <t>Föryngringsavverkning</t>
        </is>
      </c>
      <c r="D195" s="1" t="n">
        <v>44901</v>
      </c>
      <c r="E195" s="1" t="n">
        <v>46223</v>
      </c>
      <c r="F195" t="inlineStr">
        <is>
          <t>SÖDERMANLANDS LÄN</t>
        </is>
      </c>
      <c r="G195" t="inlineStr">
        <is>
          <t>STRÄNGNÄS</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33342-2023</t>
        </is>
      </c>
      <c r="B196" t="inlineStr">
        <is>
          <t>avverkningsanmälan</t>
        </is>
      </c>
      <c r="C196" t="inlineStr">
        <is>
          <t>Föryngringsavverkning</t>
        </is>
      </c>
      <c r="D196" s="1" t="n">
        <v>45128</v>
      </c>
      <c r="E196" s="1" t="n">
        <v>46223</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1018-2026</t>
        </is>
      </c>
      <c r="B197" t="inlineStr">
        <is>
          <t>avverkningsanmälan</t>
        </is>
      </c>
      <c r="C197" t="inlineStr">
        <is>
          <t>Föryngringsavverkning</t>
        </is>
      </c>
      <c r="D197" s="1" t="n">
        <v>46030</v>
      </c>
      <c r="E197" s="1" t="n">
        <v>46223</v>
      </c>
      <c r="F197" t="inlineStr">
        <is>
          <t>SÖDERMANLANDS LÄN</t>
        </is>
      </c>
      <c r="G197" t="inlineStr">
        <is>
          <t>STRÄNGNÄS</t>
        </is>
      </c>
      <c r="I197" t="n">
        <v>4.7</v>
      </c>
      <c r="J197" t="n">
        <v>0</v>
      </c>
      <c r="K197" t="n">
        <v>0</v>
      </c>
      <c r="L197" t="n">
        <v>0</v>
      </c>
      <c r="M197" t="n">
        <v>0</v>
      </c>
      <c r="N197" t="n">
        <v>0</v>
      </c>
      <c r="O197" t="n">
        <v>0</v>
      </c>
      <c r="P197" t="n">
        <v>0</v>
      </c>
      <c r="Q197" t="n">
        <v>0</v>
      </c>
      <c r="R197" t="n">
        <v>0</v>
      </c>
      <c r="S197" t="n">
        <v>0</v>
      </c>
      <c r="T197" t="n">
        <v>0</v>
      </c>
      <c r="U197" s="2" t="inlineStr"/>
    </row>
    <row r="198" ht="15" customHeight="1">
      <c r="A198" t="inlineStr">
        <is>
          <t>A 65153-2023</t>
        </is>
      </c>
      <c r="B198" t="inlineStr">
        <is>
          <t>avverkningsanmälan</t>
        </is>
      </c>
      <c r="C198" t="inlineStr">
        <is>
          <t>Föryngringsavverkning</t>
        </is>
      </c>
      <c r="D198" s="1" t="n">
        <v>45288</v>
      </c>
      <c r="E198" s="1" t="n">
        <v>46223</v>
      </c>
      <c r="F198" t="inlineStr">
        <is>
          <t>SÖDERMANLANDS LÄN</t>
        </is>
      </c>
      <c r="G198" t="inlineStr">
        <is>
          <t>STRÄNGNÄS</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32552-2023</t>
        </is>
      </c>
      <c r="B199" t="inlineStr">
        <is>
          <t>avverkningsanmälan</t>
        </is>
      </c>
      <c r="C199" t="inlineStr">
        <is>
          <t>Föryngringsavverkning</t>
        </is>
      </c>
      <c r="D199" s="1" t="n">
        <v>45121</v>
      </c>
      <c r="E199" s="1" t="n">
        <v>46223</v>
      </c>
      <c r="F199" t="inlineStr">
        <is>
          <t>SÖDERMANLANDS LÄN</t>
        </is>
      </c>
      <c r="G199" t="inlineStr">
        <is>
          <t>STRÄNGNÄS</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1108-2026</t>
        </is>
      </c>
      <c r="B200" t="inlineStr">
        <is>
          <t>avverkningsanmälan</t>
        </is>
      </c>
      <c r="C200" t="inlineStr">
        <is>
          <t>Föryngringsavverkning</t>
        </is>
      </c>
      <c r="D200" s="1" t="n">
        <v>46030</v>
      </c>
      <c r="E200" s="1" t="n">
        <v>46223</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1117-2022</t>
        </is>
      </c>
      <c r="B201" t="inlineStr">
        <is>
          <t>avverkningsanmälan</t>
        </is>
      </c>
      <c r="C201" t="inlineStr">
        <is>
          <t>Föryngringsavverkning</t>
        </is>
      </c>
      <c r="D201" s="1" t="n">
        <v>44571</v>
      </c>
      <c r="E201" s="1" t="n">
        <v>46223</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1209-2026</t>
        </is>
      </c>
      <c r="B202" t="inlineStr">
        <is>
          <t>avverkningsanmälan</t>
        </is>
      </c>
      <c r="C202" t="inlineStr">
        <is>
          <t>Föryngringsavverkning</t>
        </is>
      </c>
      <c r="D202" s="1" t="n">
        <v>46031</v>
      </c>
      <c r="E202" s="1" t="n">
        <v>46223</v>
      </c>
      <c r="F202" t="inlineStr">
        <is>
          <t>SÖDERMANLANDS LÄN</t>
        </is>
      </c>
      <c r="G202" t="inlineStr">
        <is>
          <t>STRÄNGNÄS</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1744-2026</t>
        </is>
      </c>
      <c r="B203" t="inlineStr">
        <is>
          <t>avverkningsanmälan</t>
        </is>
      </c>
      <c r="C203" t="inlineStr">
        <is>
          <t>Föryngringsavverkning</t>
        </is>
      </c>
      <c r="D203" s="1" t="n">
        <v>46034</v>
      </c>
      <c r="E203" s="1" t="n">
        <v>46223</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1680-2026</t>
        </is>
      </c>
      <c r="B204" t="inlineStr">
        <is>
          <t>avverkningsanmälan</t>
        </is>
      </c>
      <c r="C204" t="inlineStr">
        <is>
          <t>Föryngringsavverkning</t>
        </is>
      </c>
      <c r="D204" s="1" t="n">
        <v>46034</v>
      </c>
      <c r="E204" s="1" t="n">
        <v>46223</v>
      </c>
      <c r="F204" t="inlineStr">
        <is>
          <t>SÖDERMANLANDS LÄN</t>
        </is>
      </c>
      <c r="G204" t="inlineStr">
        <is>
          <t>STRÄNGNÄS</t>
        </is>
      </c>
      <c r="I204" t="n">
        <v>4.9</v>
      </c>
      <c r="J204" t="n">
        <v>0</v>
      </c>
      <c r="K204" t="n">
        <v>0</v>
      </c>
      <c r="L204" t="n">
        <v>0</v>
      </c>
      <c r="M204" t="n">
        <v>0</v>
      </c>
      <c r="N204" t="n">
        <v>0</v>
      </c>
      <c r="O204" t="n">
        <v>0</v>
      </c>
      <c r="P204" t="n">
        <v>0</v>
      </c>
      <c r="Q204" t="n">
        <v>0</v>
      </c>
      <c r="R204" t="n">
        <v>0</v>
      </c>
      <c r="S204" t="n">
        <v>0</v>
      </c>
      <c r="T204" t="n">
        <v>0</v>
      </c>
      <c r="U204" s="2" t="inlineStr"/>
    </row>
    <row r="205" ht="15" customHeight="1">
      <c r="A205" t="inlineStr">
        <is>
          <t>A 1553-2026</t>
        </is>
      </c>
      <c r="B205" t="inlineStr">
        <is>
          <t>avverkningsanmälan</t>
        </is>
      </c>
      <c r="C205" t="inlineStr">
        <is>
          <t>Föryngringsavverkning</t>
        </is>
      </c>
      <c r="D205" s="1" t="n">
        <v>46034</v>
      </c>
      <c r="E205" s="1" t="n">
        <v>46223</v>
      </c>
      <c r="F205" t="inlineStr">
        <is>
          <t>SÖDERMANLANDS LÄN</t>
        </is>
      </c>
      <c r="G205" t="inlineStr">
        <is>
          <t>STRÄNGNÄS</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1313-2026</t>
        </is>
      </c>
      <c r="B206" t="inlineStr">
        <is>
          <t>avverkningsanmälan</t>
        </is>
      </c>
      <c r="C206" t="inlineStr">
        <is>
          <t>Föryngringsavverkning</t>
        </is>
      </c>
      <c r="D206" s="1" t="n">
        <v>46031</v>
      </c>
      <c r="E206" s="1" t="n">
        <v>46223</v>
      </c>
      <c r="F206" t="inlineStr">
        <is>
          <t>SÖDERMANLANDS LÄN</t>
        </is>
      </c>
      <c r="G206" t="inlineStr">
        <is>
          <t>STRÄNGNÄS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1511-2026</t>
        </is>
      </c>
      <c r="B207" t="inlineStr">
        <is>
          <t>avverkningsanmälan</t>
        </is>
      </c>
      <c r="C207" t="inlineStr">
        <is>
          <t>Föryngringsavverkning</t>
        </is>
      </c>
      <c r="D207" s="1" t="n">
        <v>46034</v>
      </c>
      <c r="E207" s="1" t="n">
        <v>46223</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1496-2026</t>
        </is>
      </c>
      <c r="B208" t="inlineStr">
        <is>
          <t>avverkningsanmälan</t>
        </is>
      </c>
      <c r="C208" t="inlineStr">
        <is>
          <t>Föryngringsavverkning</t>
        </is>
      </c>
      <c r="D208" s="1" t="n">
        <v>46034</v>
      </c>
      <c r="E208" s="1" t="n">
        <v>46223</v>
      </c>
      <c r="F208" t="inlineStr">
        <is>
          <t>SÖDERMANLANDS LÄN</t>
        </is>
      </c>
      <c r="G208" t="inlineStr">
        <is>
          <t>STRÄNGNÄS</t>
        </is>
      </c>
      <c r="I208" t="n">
        <v>6.2</v>
      </c>
      <c r="J208" t="n">
        <v>0</v>
      </c>
      <c r="K208" t="n">
        <v>0</v>
      </c>
      <c r="L208" t="n">
        <v>0</v>
      </c>
      <c r="M208" t="n">
        <v>0</v>
      </c>
      <c r="N208" t="n">
        <v>0</v>
      </c>
      <c r="O208" t="n">
        <v>0</v>
      </c>
      <c r="P208" t="n">
        <v>0</v>
      </c>
      <c r="Q208" t="n">
        <v>0</v>
      </c>
      <c r="R208" t="n">
        <v>0</v>
      </c>
      <c r="S208" t="n">
        <v>0</v>
      </c>
      <c r="T208" t="n">
        <v>0</v>
      </c>
      <c r="U208" s="2" t="inlineStr"/>
    </row>
    <row r="209" ht="15" customHeight="1">
      <c r="A209" t="inlineStr">
        <is>
          <t>A 1624-2026</t>
        </is>
      </c>
      <c r="B209" t="inlineStr">
        <is>
          <t>avverkningsanmälan</t>
        </is>
      </c>
      <c r="C209" t="inlineStr">
        <is>
          <t>Föryngringsavverkning</t>
        </is>
      </c>
      <c r="D209" s="1" t="n">
        <v>46034</v>
      </c>
      <c r="E209" s="1" t="n">
        <v>46223</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1660-2026</t>
        </is>
      </c>
      <c r="B210" t="inlineStr">
        <is>
          <t>avverkningsanmälan</t>
        </is>
      </c>
      <c r="C210" t="inlineStr">
        <is>
          <t>Föryngringsavverkning</t>
        </is>
      </c>
      <c r="D210" s="1" t="n">
        <v>46034</v>
      </c>
      <c r="E210" s="1" t="n">
        <v>46223</v>
      </c>
      <c r="F210" t="inlineStr">
        <is>
          <t>SÖDERMANLANDS LÄN</t>
        </is>
      </c>
      <c r="G210" t="inlineStr">
        <is>
          <t>STRÄNGNÄS</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1718-2026</t>
        </is>
      </c>
      <c r="B211" t="inlineStr">
        <is>
          <t>avverkningsanmälan</t>
        </is>
      </c>
      <c r="C211" t="inlineStr">
        <is>
          <t>Föryngringsavverkning</t>
        </is>
      </c>
      <c r="D211" s="1" t="n">
        <v>46034</v>
      </c>
      <c r="E211" s="1" t="n">
        <v>46223</v>
      </c>
      <c r="F211" t="inlineStr">
        <is>
          <t>SÖDERMANLANDS LÄN</t>
        </is>
      </c>
      <c r="G211" t="inlineStr">
        <is>
          <t>STRÄNGNÄS</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1757-2026</t>
        </is>
      </c>
      <c r="B212" t="inlineStr">
        <is>
          <t>avverkningsanmälan</t>
        </is>
      </c>
      <c r="C212" t="inlineStr">
        <is>
          <t>Föryngringsavverkning</t>
        </is>
      </c>
      <c r="D212" s="1" t="n">
        <v>46034</v>
      </c>
      <c r="E212" s="1" t="n">
        <v>46223</v>
      </c>
      <c r="F212" t="inlineStr">
        <is>
          <t>SÖDERMANLANDS LÄN</t>
        </is>
      </c>
      <c r="G212" t="inlineStr">
        <is>
          <t>STRÄNGNÄS</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1892-2026</t>
        </is>
      </c>
      <c r="B213" t="inlineStr">
        <is>
          <t>avverkningsanmälan</t>
        </is>
      </c>
      <c r="C213" t="inlineStr">
        <is>
          <t>Föryngringsavverkning</t>
        </is>
      </c>
      <c r="D213" s="1" t="n">
        <v>46035</v>
      </c>
      <c r="E213" s="1" t="n">
        <v>46223</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s="2" t="inlineStr"/>
    </row>
    <row r="214" ht="15" customHeight="1">
      <c r="A214" t="inlineStr">
        <is>
          <t>A 2268-2026</t>
        </is>
      </c>
      <c r="B214" t="inlineStr">
        <is>
          <t>avverkningsanmälan</t>
        </is>
      </c>
      <c r="C214" t="inlineStr">
        <is>
          <t>Föryngringsavverkning</t>
        </is>
      </c>
      <c r="D214" s="1" t="n">
        <v>46036</v>
      </c>
      <c r="E214" s="1" t="n">
        <v>46223</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2007-2026</t>
        </is>
      </c>
      <c r="B215" t="inlineStr">
        <is>
          <t>avverkningsanmälan</t>
        </is>
      </c>
      <c r="C215" t="inlineStr">
        <is>
          <t>Föryngringsavverkning</t>
        </is>
      </c>
      <c r="D215" s="1" t="n">
        <v>46035</v>
      </c>
      <c r="E215" s="1" t="n">
        <v>46223</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2328-2026</t>
        </is>
      </c>
      <c r="B216" t="inlineStr">
        <is>
          <t>avverkningsanmälan</t>
        </is>
      </c>
      <c r="C216" t="inlineStr">
        <is>
          <t>Föryngringsavverkning</t>
        </is>
      </c>
      <c r="D216" s="1" t="n">
        <v>46036</v>
      </c>
      <c r="E216" s="1" t="n">
        <v>46223</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2256-2026</t>
        </is>
      </c>
      <c r="B217" t="inlineStr">
        <is>
          <t>avverkningsanmälan</t>
        </is>
      </c>
      <c r="C217" t="inlineStr">
        <is>
          <t>Föryngringsavverkning</t>
        </is>
      </c>
      <c r="D217" s="1" t="n">
        <v>46036</v>
      </c>
      <c r="E217" s="1" t="n">
        <v>46223</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2302-2026</t>
        </is>
      </c>
      <c r="B218" t="inlineStr">
        <is>
          <t>avverkningsanmälan</t>
        </is>
      </c>
      <c r="C218" t="inlineStr">
        <is>
          <t>Föryngringsavverkning</t>
        </is>
      </c>
      <c r="D218" s="1" t="n">
        <v>46036</v>
      </c>
      <c r="E218" s="1" t="n">
        <v>46223</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2368-2026</t>
        </is>
      </c>
      <c r="B219" t="inlineStr">
        <is>
          <t>avverkningsanmälan</t>
        </is>
      </c>
      <c r="C219" t="inlineStr">
        <is>
          <t>Föryngringsavverkning</t>
        </is>
      </c>
      <c r="D219" s="1" t="n">
        <v>46036</v>
      </c>
      <c r="E219" s="1" t="n">
        <v>46223</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1915-2026</t>
        </is>
      </c>
      <c r="B220" t="inlineStr">
        <is>
          <t>avverkningsanmälan</t>
        </is>
      </c>
      <c r="C220" t="inlineStr">
        <is>
          <t>Föryngringsavverkning</t>
        </is>
      </c>
      <c r="D220" s="1" t="n">
        <v>46035</v>
      </c>
      <c r="E220" s="1" t="n">
        <v>46223</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36469-2023</t>
        </is>
      </c>
      <c r="B221" t="inlineStr">
        <is>
          <t>avverkningsanmälan</t>
        </is>
      </c>
      <c r="C221" t="inlineStr">
        <is>
          <t>Föryngringsavverkning</t>
        </is>
      </c>
      <c r="D221" s="1" t="n">
        <v>45152</v>
      </c>
      <c r="E221" s="1" t="n">
        <v>46223</v>
      </c>
      <c r="F221" t="inlineStr">
        <is>
          <t>SÖDERMANLANDS LÄN</t>
        </is>
      </c>
      <c r="G221" t="inlineStr">
        <is>
          <t>STRÄNGNÄS</t>
        </is>
      </c>
      <c r="H221" t="inlineStr">
        <is>
          <t>Sveaskog</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2636-2026</t>
        </is>
      </c>
      <c r="B222" t="inlineStr">
        <is>
          <t>avverkningsanmälan</t>
        </is>
      </c>
      <c r="C222" t="inlineStr">
        <is>
          <t>Föryngringsavverkning</t>
        </is>
      </c>
      <c r="D222" s="1" t="n">
        <v>46037</v>
      </c>
      <c r="E222" s="1" t="n">
        <v>46223</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1251-2023</t>
        </is>
      </c>
      <c r="B223" t="inlineStr">
        <is>
          <t>avverkningsanmälan</t>
        </is>
      </c>
      <c r="C223" t="inlineStr">
        <is>
          <t>Föryngringsavverkning</t>
        </is>
      </c>
      <c r="D223" s="1" t="n">
        <v>44936</v>
      </c>
      <c r="E223" s="1" t="n">
        <v>46223</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s="2" t="inlineStr"/>
    </row>
    <row r="224" ht="15" customHeight="1">
      <c r="A224" t="inlineStr">
        <is>
          <t>A 9234-2023</t>
        </is>
      </c>
      <c r="B224" t="inlineStr">
        <is>
          <t>avverkningsanmälan</t>
        </is>
      </c>
      <c r="C224" t="inlineStr">
        <is>
          <t>Föryngringsavverkning</t>
        </is>
      </c>
      <c r="D224" s="1" t="n">
        <v>44980</v>
      </c>
      <c r="E224" s="1" t="n">
        <v>46223</v>
      </c>
      <c r="F224" t="inlineStr">
        <is>
          <t>SÖDERMANLANDS LÄN</t>
        </is>
      </c>
      <c r="G224" t="inlineStr">
        <is>
          <t>STRÄNGNÄS</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42750-2023</t>
        </is>
      </c>
      <c r="B225" t="inlineStr">
        <is>
          <t>avverkningsanmälan</t>
        </is>
      </c>
      <c r="C225" t="inlineStr">
        <is>
          <t>Föryngringsavverkning</t>
        </is>
      </c>
      <c r="D225" s="1" t="n">
        <v>45177</v>
      </c>
      <c r="E225" s="1" t="n">
        <v>46223</v>
      </c>
      <c r="F225" t="inlineStr">
        <is>
          <t>SÖDERMANLANDS LÄN</t>
        </is>
      </c>
      <c r="G225" t="inlineStr">
        <is>
          <t>STRÄNGNÄS</t>
        </is>
      </c>
      <c r="H225" t="inlineStr">
        <is>
          <t>Övriga statliga verk och myndigheter</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65160-2023</t>
        </is>
      </c>
      <c r="B226" t="inlineStr">
        <is>
          <t>avverkningsanmälan</t>
        </is>
      </c>
      <c r="C226" t="inlineStr">
        <is>
          <t>Föryngringsavverkning</t>
        </is>
      </c>
      <c r="D226" s="1" t="n">
        <v>45288</v>
      </c>
      <c r="E226" s="1" t="n">
        <v>46223</v>
      </c>
      <c r="F226" t="inlineStr">
        <is>
          <t>SÖDERMANLANDS LÄN</t>
        </is>
      </c>
      <c r="G226" t="inlineStr">
        <is>
          <t>STRÄNGNÄS</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65163-2023</t>
        </is>
      </c>
      <c r="B227" t="inlineStr">
        <is>
          <t>avverkningsanmälan</t>
        </is>
      </c>
      <c r="C227" t="inlineStr">
        <is>
          <t>Föryngringsavverkning</t>
        </is>
      </c>
      <c r="D227" s="1" t="n">
        <v>45288</v>
      </c>
      <c r="E227" s="1" t="n">
        <v>46223</v>
      </c>
      <c r="F227" t="inlineStr">
        <is>
          <t>SÖDERMANLANDS LÄN</t>
        </is>
      </c>
      <c r="G227" t="inlineStr">
        <is>
          <t>STRÄNGNÄS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61656-2023</t>
        </is>
      </c>
      <c r="B228" t="inlineStr">
        <is>
          <t>avverkningsanmälan</t>
        </is>
      </c>
      <c r="C228" t="inlineStr">
        <is>
          <t>Föryngringsavverkning</t>
        </is>
      </c>
      <c r="D228" s="1" t="n">
        <v>45265</v>
      </c>
      <c r="E228" s="1" t="n">
        <v>46223</v>
      </c>
      <c r="F228" t="inlineStr">
        <is>
          <t>SÖDERMANLANDS LÄN</t>
        </is>
      </c>
      <c r="G228" t="inlineStr">
        <is>
          <t>STRÄNGNÄS</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65161-2023</t>
        </is>
      </c>
      <c r="B229" t="inlineStr">
        <is>
          <t>avverkningsanmälan</t>
        </is>
      </c>
      <c r="C229" t="inlineStr">
        <is>
          <t>Föryngringsavverkning</t>
        </is>
      </c>
      <c r="D229" s="1" t="n">
        <v>45288</v>
      </c>
      <c r="E229" s="1" t="n">
        <v>46223</v>
      </c>
      <c r="F229" t="inlineStr">
        <is>
          <t>SÖDERMANLANDS LÄN</t>
        </is>
      </c>
      <c r="G229" t="inlineStr">
        <is>
          <t>STRÄNGNÄS</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8493-2022</t>
        </is>
      </c>
      <c r="B230" t="inlineStr">
        <is>
          <t>avverkningsanmälan</t>
        </is>
      </c>
      <c r="C230" t="inlineStr">
        <is>
          <t>Föryngringsavverkning</t>
        </is>
      </c>
      <c r="D230" s="1" t="n">
        <v>44613</v>
      </c>
      <c r="E230" s="1" t="n">
        <v>46223</v>
      </c>
      <c r="F230" t="inlineStr">
        <is>
          <t>SÖDERMANLANDS LÄN</t>
        </is>
      </c>
      <c r="G230" t="inlineStr">
        <is>
          <t>STRÄNGNÄS</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18965-2026</t>
        </is>
      </c>
      <c r="B231" t="inlineStr">
        <is>
          <t>avverkningsanmälan</t>
        </is>
      </c>
      <c r="C231" t="inlineStr">
        <is>
          <t>Föryngringsavverkning</t>
        </is>
      </c>
      <c r="D231" s="1" t="n">
        <v>46129</v>
      </c>
      <c r="E231" s="1" t="n">
        <v>46223</v>
      </c>
      <c r="F231" t="inlineStr">
        <is>
          <t>SÖDERMANLANDS LÄN</t>
        </is>
      </c>
      <c r="G231" t="inlineStr">
        <is>
          <t>STRÄNGNÄS</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18904-2026</t>
        </is>
      </c>
      <c r="B232" t="inlineStr">
        <is>
          <t>avverkningsanmälan</t>
        </is>
      </c>
      <c r="C232" t="inlineStr">
        <is>
          <t>Föryngringsavverkning</t>
        </is>
      </c>
      <c r="D232" s="1" t="n">
        <v>46129</v>
      </c>
      <c r="E232" s="1" t="n">
        <v>46223</v>
      </c>
      <c r="F232" t="inlineStr">
        <is>
          <t>SÖDERMANLANDS LÄN</t>
        </is>
      </c>
      <c r="G232" t="inlineStr">
        <is>
          <t>STRÄNGNÄS</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18971-2026</t>
        </is>
      </c>
      <c r="B233" t="inlineStr">
        <is>
          <t>avverkningsanmälan</t>
        </is>
      </c>
      <c r="C233" t="inlineStr">
        <is>
          <t>Föryngringsavverkning</t>
        </is>
      </c>
      <c r="D233" s="1" t="n">
        <v>46129</v>
      </c>
      <c r="E233" s="1" t="n">
        <v>46223</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18961-2026</t>
        </is>
      </c>
      <c r="B234" t="inlineStr">
        <is>
          <t>avverkningsanmälan</t>
        </is>
      </c>
      <c r="C234" t="inlineStr">
        <is>
          <t>Föryngringsavverkning</t>
        </is>
      </c>
      <c r="D234" s="1" t="n">
        <v>46129</v>
      </c>
      <c r="E234" s="1" t="n">
        <v>46223</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22530-2023</t>
        </is>
      </c>
      <c r="B235" t="inlineStr">
        <is>
          <t>avverkningsanmälan</t>
        </is>
      </c>
      <c r="C235" t="inlineStr">
        <is>
          <t>Föryngringsavverkning</t>
        </is>
      </c>
      <c r="D235" s="1" t="n">
        <v>45071</v>
      </c>
      <c r="E235" s="1" t="n">
        <v>46223</v>
      </c>
      <c r="F235" t="inlineStr">
        <is>
          <t>SÖDERMANLANDS LÄN</t>
        </is>
      </c>
      <c r="G235" t="inlineStr">
        <is>
          <t>STRÄNGNÄS</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40605-2025</t>
        </is>
      </c>
      <c r="B236" t="inlineStr">
        <is>
          <t>avverkningsanmälan</t>
        </is>
      </c>
      <c r="C236" t="inlineStr">
        <is>
          <t>Föryngringsavverkning</t>
        </is>
      </c>
      <c r="D236" s="1" t="n">
        <v>45896</v>
      </c>
      <c r="E236" s="1" t="n">
        <v>46223</v>
      </c>
      <c r="F236" t="inlineStr">
        <is>
          <t>SÖDERMANLANDS LÄN</t>
        </is>
      </c>
      <c r="G236" t="inlineStr">
        <is>
          <t>STRÄNGNÄS</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4115-2025</t>
        </is>
      </c>
      <c r="B237" t="inlineStr">
        <is>
          <t>avverkningsanmälan</t>
        </is>
      </c>
      <c r="C237" t="inlineStr">
        <is>
          <t>Föryngringsavverkning</t>
        </is>
      </c>
      <c r="D237" s="1" t="n">
        <v>45684</v>
      </c>
      <c r="E237" s="1" t="n">
        <v>46223</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52452-2024</t>
        </is>
      </c>
      <c r="B238" t="inlineStr">
        <is>
          <t>avverkningsanmälan</t>
        </is>
      </c>
      <c r="C238" t="inlineStr">
        <is>
          <t>Avverkning för annat ändamål</t>
        </is>
      </c>
      <c r="D238" s="1" t="n">
        <v>45609</v>
      </c>
      <c r="E238" s="1" t="n">
        <v>46223</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56988-2024</t>
        </is>
      </c>
      <c r="B239" t="inlineStr">
        <is>
          <t>avverkningsanmälan</t>
        </is>
      </c>
      <c r="C239" t="inlineStr">
        <is>
          <t>Föryngringsavverkning</t>
        </is>
      </c>
      <c r="D239" s="1" t="n">
        <v>45628</v>
      </c>
      <c r="E239" s="1" t="n">
        <v>46223</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2468-2022</t>
        </is>
      </c>
      <c r="B240" t="inlineStr">
        <is>
          <t>avverkningsanmälan</t>
        </is>
      </c>
      <c r="C240" t="inlineStr">
        <is>
          <t>Föryngringsavverkning</t>
        </is>
      </c>
      <c r="D240" s="1" t="n">
        <v>44579</v>
      </c>
      <c r="E240" s="1" t="n">
        <v>46223</v>
      </c>
      <c r="F240" t="inlineStr">
        <is>
          <t>SÖDERMANLANDS LÄN</t>
        </is>
      </c>
      <c r="G240" t="inlineStr">
        <is>
          <t>STRÄNGNÄS</t>
        </is>
      </c>
      <c r="H240" t="inlineStr">
        <is>
          <t>Övriga Aktiebolag</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2497-2022</t>
        </is>
      </c>
      <c r="B241" t="inlineStr">
        <is>
          <t>avverkningsanmälan</t>
        </is>
      </c>
      <c r="C241" t="inlineStr">
        <is>
          <t>Föryngringsavverkning</t>
        </is>
      </c>
      <c r="D241" s="1" t="n">
        <v>44579</v>
      </c>
      <c r="E241" s="1" t="n">
        <v>46223</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17066-2022</t>
        </is>
      </c>
      <c r="B242" t="inlineStr">
        <is>
          <t>avverkningsanmälan</t>
        </is>
      </c>
      <c r="C242" t="inlineStr">
        <is>
          <t>Föryngringsavverkning</t>
        </is>
      </c>
      <c r="D242" s="1" t="n">
        <v>44676</v>
      </c>
      <c r="E242" s="1" t="n">
        <v>46223</v>
      </c>
      <c r="F242" t="inlineStr">
        <is>
          <t>SÖDERMANLANDS LÄN</t>
        </is>
      </c>
      <c r="G242" t="inlineStr">
        <is>
          <t>STRÄNGNÄS</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42117-2022</t>
        </is>
      </c>
      <c r="B243" t="inlineStr">
        <is>
          <t>avverkningsanmälan</t>
        </is>
      </c>
      <c r="C243" t="inlineStr">
        <is>
          <t>Föryngringsavverkning</t>
        </is>
      </c>
      <c r="D243" s="1" t="n">
        <v>44830</v>
      </c>
      <c r="E243" s="1" t="n">
        <v>46223</v>
      </c>
      <c r="F243" t="inlineStr">
        <is>
          <t>SÖDERMANLANDS LÄN</t>
        </is>
      </c>
      <c r="G243" t="inlineStr">
        <is>
          <t>STRÄNGNÄS</t>
        </is>
      </c>
      <c r="H243" t="inlineStr">
        <is>
          <t>Allmännings- och besparingsskogar</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42777-2023</t>
        </is>
      </c>
      <c r="B244" t="inlineStr">
        <is>
          <t>avverkningsanmälan</t>
        </is>
      </c>
      <c r="C244" t="inlineStr">
        <is>
          <t>Föryngringsavverkning</t>
        </is>
      </c>
      <c r="D244" s="1" t="n">
        <v>45177</v>
      </c>
      <c r="E244" s="1" t="n">
        <v>46223</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56984-2024</t>
        </is>
      </c>
      <c r="B245" t="inlineStr">
        <is>
          <t>avverkningsanmälan</t>
        </is>
      </c>
      <c r="C245" t="inlineStr">
        <is>
          <t>Föryngringsavverkning</t>
        </is>
      </c>
      <c r="D245" s="1" t="n">
        <v>45628</v>
      </c>
      <c r="E245" s="1" t="n">
        <v>46223</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s="2" t="inlineStr"/>
    </row>
    <row r="246" ht="15" customHeight="1">
      <c r="A246" t="inlineStr">
        <is>
          <t>A 20187-2026</t>
        </is>
      </c>
      <c r="B246" t="inlineStr">
        <is>
          <t>avverkningsanmälan</t>
        </is>
      </c>
      <c r="C246" t="inlineStr">
        <is>
          <t>Föryngringsavverkning</t>
        </is>
      </c>
      <c r="D246" s="1" t="n">
        <v>46139</v>
      </c>
      <c r="E246" s="1" t="n">
        <v>46223</v>
      </c>
      <c r="F246" t="inlineStr">
        <is>
          <t>SÖDERMANLANDS LÄN</t>
        </is>
      </c>
      <c r="G246" t="inlineStr">
        <is>
          <t>STRÄNGNÄS</t>
        </is>
      </c>
      <c r="H246" t="inlineStr">
        <is>
          <t>Allmännings- och besparingsskogar</t>
        </is>
      </c>
      <c r="I246" t="n">
        <v>4.2</v>
      </c>
      <c r="J246" t="n">
        <v>0</v>
      </c>
      <c r="K246" t="n">
        <v>0</v>
      </c>
      <c r="L246" t="n">
        <v>0</v>
      </c>
      <c r="M246" t="n">
        <v>0</v>
      </c>
      <c r="N246" t="n">
        <v>0</v>
      </c>
      <c r="O246" t="n">
        <v>0</v>
      </c>
      <c r="P246" t="n">
        <v>0</v>
      </c>
      <c r="Q246" t="n">
        <v>0</v>
      </c>
      <c r="R246" t="n">
        <v>0</v>
      </c>
      <c r="S246" t="n">
        <v>0</v>
      </c>
      <c r="T246" t="n">
        <v>0</v>
      </c>
      <c r="U246" s="2" t="inlineStr"/>
    </row>
    <row r="247" ht="15" customHeight="1">
      <c r="A247" t="inlineStr">
        <is>
          <t>A 56989-2024</t>
        </is>
      </c>
      <c r="B247" t="inlineStr">
        <is>
          <t>avverkningsanmälan</t>
        </is>
      </c>
      <c r="C247" t="inlineStr">
        <is>
          <t>Föryngringsavverkning</t>
        </is>
      </c>
      <c r="D247" s="1" t="n">
        <v>45628</v>
      </c>
      <c r="E247" s="1" t="n">
        <v>46223</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s="2" t="inlineStr"/>
    </row>
    <row r="248" ht="15" customHeight="1">
      <c r="A248" t="inlineStr">
        <is>
          <t>A 59304-2023</t>
        </is>
      </c>
      <c r="B248" t="inlineStr">
        <is>
          <t>avverkningsanmälan</t>
        </is>
      </c>
      <c r="C248" t="inlineStr">
        <is>
          <t>Föryngringsavverkning</t>
        </is>
      </c>
      <c r="D248" s="1" t="n">
        <v>45253</v>
      </c>
      <c r="E248" s="1" t="n">
        <v>46223</v>
      </c>
      <c r="F248" t="inlineStr">
        <is>
          <t>SÖDERMANLANDS LÄN</t>
        </is>
      </c>
      <c r="G248" t="inlineStr">
        <is>
          <t>STRÄNGNÄS</t>
        </is>
      </c>
      <c r="I248" t="n">
        <v>7.1</v>
      </c>
      <c r="J248" t="n">
        <v>0</v>
      </c>
      <c r="K248" t="n">
        <v>0</v>
      </c>
      <c r="L248" t="n">
        <v>0</v>
      </c>
      <c r="M248" t="n">
        <v>0</v>
      </c>
      <c r="N248" t="n">
        <v>0</v>
      </c>
      <c r="O248" t="n">
        <v>0</v>
      </c>
      <c r="P248" t="n">
        <v>0</v>
      </c>
      <c r="Q248" t="n">
        <v>0</v>
      </c>
      <c r="R248" t="n">
        <v>0</v>
      </c>
      <c r="S248" t="n">
        <v>0</v>
      </c>
      <c r="T248" t="n">
        <v>0</v>
      </c>
      <c r="U248" s="2" t="inlineStr"/>
    </row>
    <row r="249" ht="15" customHeight="1">
      <c r="A249" t="inlineStr">
        <is>
          <t>A 46882-2023</t>
        </is>
      </c>
      <c r="B249" t="inlineStr">
        <is>
          <t>avverkningsanmälan</t>
        </is>
      </c>
      <c r="C249" t="inlineStr">
        <is>
          <t>Föryngringsavverkning</t>
        </is>
      </c>
      <c r="D249" s="1" t="n">
        <v>45201</v>
      </c>
      <c r="E249" s="1" t="n">
        <v>46223</v>
      </c>
      <c r="F249" t="inlineStr">
        <is>
          <t>SÖDERMANLANDS LÄN</t>
        </is>
      </c>
      <c r="G249" t="inlineStr">
        <is>
          <t>STRÄNGNÄS</t>
        </is>
      </c>
      <c r="I249" t="n">
        <v>8.5</v>
      </c>
      <c r="J249" t="n">
        <v>0</v>
      </c>
      <c r="K249" t="n">
        <v>0</v>
      </c>
      <c r="L249" t="n">
        <v>0</v>
      </c>
      <c r="M249" t="n">
        <v>0</v>
      </c>
      <c r="N249" t="n">
        <v>0</v>
      </c>
      <c r="O249" t="n">
        <v>0</v>
      </c>
      <c r="P249" t="n">
        <v>0</v>
      </c>
      <c r="Q249" t="n">
        <v>0</v>
      </c>
      <c r="R249" t="n">
        <v>0</v>
      </c>
      <c r="S249" t="n">
        <v>0</v>
      </c>
      <c r="T249" t="n">
        <v>0</v>
      </c>
      <c r="U249" s="2" t="inlineStr"/>
    </row>
    <row r="250" ht="15" customHeight="1">
      <c r="A250" t="inlineStr">
        <is>
          <t>A 3759-2025</t>
        </is>
      </c>
      <c r="B250" t="inlineStr">
        <is>
          <t>avverkningsanmälan</t>
        </is>
      </c>
      <c r="C250" t="inlineStr">
        <is>
          <t>Föryngringsavverkning</t>
        </is>
      </c>
      <c r="D250" s="1" t="n">
        <v>45681</v>
      </c>
      <c r="E250" s="1" t="n">
        <v>46223</v>
      </c>
      <c r="F250" t="inlineStr">
        <is>
          <t>SÖDERMANLANDS LÄN</t>
        </is>
      </c>
      <c r="G250" t="inlineStr">
        <is>
          <t>STRÄNGNÄS</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3761-2025</t>
        </is>
      </c>
      <c r="B251" t="inlineStr">
        <is>
          <t>avverkningsanmälan</t>
        </is>
      </c>
      <c r="C251" t="inlineStr">
        <is>
          <t>Föryngringsavverkning</t>
        </is>
      </c>
      <c r="D251" s="1" t="n">
        <v>45681</v>
      </c>
      <c r="E251" s="1" t="n">
        <v>46223</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44479-2023</t>
        </is>
      </c>
      <c r="B252" t="inlineStr">
        <is>
          <t>avverkningsanmälan</t>
        </is>
      </c>
      <c r="C252" t="inlineStr">
        <is>
          <t>Föryngringsavverkning</t>
        </is>
      </c>
      <c r="D252" s="1" t="n">
        <v>45189</v>
      </c>
      <c r="E252" s="1" t="n">
        <v>46223</v>
      </c>
      <c r="F252" t="inlineStr">
        <is>
          <t>SÖDERMANLANDS LÄN</t>
        </is>
      </c>
      <c r="G252" t="inlineStr">
        <is>
          <t>STRÄNGNÄS</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11281-2025</t>
        </is>
      </c>
      <c r="B253" t="inlineStr">
        <is>
          <t>avverkningsanmälan</t>
        </is>
      </c>
      <c r="C253" t="inlineStr">
        <is>
          <t>Föryngringsavverkning</t>
        </is>
      </c>
      <c r="D253" s="1" t="n">
        <v>45726</v>
      </c>
      <c r="E253" s="1" t="n">
        <v>46223</v>
      </c>
      <c r="F253" t="inlineStr">
        <is>
          <t>SÖDERMANLANDS LÄN</t>
        </is>
      </c>
      <c r="G253" t="inlineStr">
        <is>
          <t>STRÄNGNÄS</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34401-2024</t>
        </is>
      </c>
      <c r="B254" t="inlineStr">
        <is>
          <t>avverkningsanmälan</t>
        </is>
      </c>
      <c r="C254" t="inlineStr">
        <is>
          <t>Föryngringsavverkning</t>
        </is>
      </c>
      <c r="D254" s="1" t="n">
        <v>45525</v>
      </c>
      <c r="E254" s="1" t="n">
        <v>46223</v>
      </c>
      <c r="F254" t="inlineStr">
        <is>
          <t>SÖDERMANLANDS LÄN</t>
        </is>
      </c>
      <c r="G254" t="inlineStr">
        <is>
          <t>STRÄNGNÄS</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52790-2023</t>
        </is>
      </c>
      <c r="B255" t="inlineStr">
        <is>
          <t>avverkningsanmälan</t>
        </is>
      </c>
      <c r="C255" t="inlineStr">
        <is>
          <t>Föryngringsavverkning</t>
        </is>
      </c>
      <c r="D255" s="1" t="n">
        <v>45219</v>
      </c>
      <c r="E255" s="1" t="n">
        <v>46223</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55054-2023</t>
        </is>
      </c>
      <c r="B256" t="inlineStr">
        <is>
          <t>avverkningsanmälan</t>
        </is>
      </c>
      <c r="C256" t="inlineStr">
        <is>
          <t>Föryngringsavverkning</t>
        </is>
      </c>
      <c r="D256" s="1" t="n">
        <v>45237</v>
      </c>
      <c r="E256" s="1" t="n">
        <v>46223</v>
      </c>
      <c r="F256" t="inlineStr">
        <is>
          <t>SÖDERMANLANDS LÄN</t>
        </is>
      </c>
      <c r="G256" t="inlineStr">
        <is>
          <t>STRÄNGNÄS</t>
        </is>
      </c>
      <c r="H256" t="inlineStr">
        <is>
          <t>Sveaskog</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62746-2025</t>
        </is>
      </c>
      <c r="B257" t="inlineStr">
        <is>
          <t>avverkningsanmälan</t>
        </is>
      </c>
      <c r="C257" t="inlineStr">
        <is>
          <t>Föryngringsavverkning</t>
        </is>
      </c>
      <c r="D257" s="1" t="n">
        <v>46008</v>
      </c>
      <c r="E257" s="1" t="n">
        <v>46223</v>
      </c>
      <c r="F257" t="inlineStr">
        <is>
          <t>SÖDERMANLANDS LÄN</t>
        </is>
      </c>
      <c r="G257" t="inlineStr">
        <is>
          <t>STRÄNGNÄS</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50296-2021</t>
        </is>
      </c>
      <c r="B258" t="inlineStr">
        <is>
          <t>avverkningsanmälan</t>
        </is>
      </c>
      <c r="C258" t="inlineStr">
        <is>
          <t>Föryngringsavverkning</t>
        </is>
      </c>
      <c r="D258" s="1" t="n">
        <v>44459</v>
      </c>
      <c r="E258" s="1" t="n">
        <v>46223</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3121-2023</t>
        </is>
      </c>
      <c r="B259" t="inlineStr">
        <is>
          <t>avverkningsanmälan</t>
        </is>
      </c>
      <c r="C259" t="inlineStr">
        <is>
          <t>Föryngringsavverkning</t>
        </is>
      </c>
      <c r="D259" s="1" t="n">
        <v>44946</v>
      </c>
      <c r="E259" s="1" t="n">
        <v>46223</v>
      </c>
      <c r="F259" t="inlineStr">
        <is>
          <t>SÖDERMANLANDS LÄN</t>
        </is>
      </c>
      <c r="G259" t="inlineStr">
        <is>
          <t>STRÄNGNÄS</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10352-2023</t>
        </is>
      </c>
      <c r="B260" t="inlineStr">
        <is>
          <t>avverkningsanmälan</t>
        </is>
      </c>
      <c r="C260" t="inlineStr">
        <is>
          <t>Föryngringsavverkning</t>
        </is>
      </c>
      <c r="D260" s="1" t="n">
        <v>44987</v>
      </c>
      <c r="E260" s="1" t="n">
        <v>46223</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41503-2022</t>
        </is>
      </c>
      <c r="B261" t="inlineStr">
        <is>
          <t>avverkningsanmälan</t>
        </is>
      </c>
      <c r="C261" t="inlineStr">
        <is>
          <t>Föryngringsavverkning</t>
        </is>
      </c>
      <c r="D261" s="1" t="n">
        <v>44827</v>
      </c>
      <c r="E261" s="1" t="n">
        <v>46223</v>
      </c>
      <c r="F261" t="inlineStr">
        <is>
          <t>SÖDERMANLANDS LÄN</t>
        </is>
      </c>
      <c r="G261" t="inlineStr">
        <is>
          <t>STRÄNGNÄS</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60748-2021</t>
        </is>
      </c>
      <c r="B262" t="inlineStr">
        <is>
          <t>avverkningsanmälan</t>
        </is>
      </c>
      <c r="C262" t="inlineStr">
        <is>
          <t>Föryngringsavverkning</t>
        </is>
      </c>
      <c r="D262" s="1" t="n">
        <v>44496</v>
      </c>
      <c r="E262" s="1" t="n">
        <v>46223</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28102-2026</t>
        </is>
      </c>
      <c r="B263" t="inlineStr">
        <is>
          <t>avverkningsanmälan</t>
        </is>
      </c>
      <c r="C263" t="inlineStr">
        <is>
          <t>Avverkning för annat ändamål</t>
        </is>
      </c>
      <c r="D263" s="1" t="n">
        <v>46195</v>
      </c>
      <c r="E263" s="1" t="n">
        <v>46223</v>
      </c>
      <c r="F263" t="inlineStr">
        <is>
          <t>SÖDERMANLANDS LÄN</t>
        </is>
      </c>
      <c r="G263" t="inlineStr">
        <is>
          <t>STRÄNGNÄS</t>
        </is>
      </c>
      <c r="H263" t="inlineStr">
        <is>
          <t>Övriga Aktiebolag</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33343-2023</t>
        </is>
      </c>
      <c r="B264" t="inlineStr">
        <is>
          <t>avverkningsanmälan</t>
        </is>
      </c>
      <c r="C264" t="inlineStr">
        <is>
          <t>Föryngringsavverkning</t>
        </is>
      </c>
      <c r="D264" s="1" t="n">
        <v>45128</v>
      </c>
      <c r="E264" s="1" t="n">
        <v>46223</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54383-2022</t>
        </is>
      </c>
      <c r="B265" t="inlineStr">
        <is>
          <t>avverkningsanmälan</t>
        </is>
      </c>
      <c r="C265" t="inlineStr">
        <is>
          <t>Föryngringsavverkning</t>
        </is>
      </c>
      <c r="D265" s="1" t="n">
        <v>44882</v>
      </c>
      <c r="E265" s="1" t="n">
        <v>46223</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3185-2022</t>
        </is>
      </c>
      <c r="B266" t="inlineStr">
        <is>
          <t>avverkningsanmälan</t>
        </is>
      </c>
      <c r="C266" t="inlineStr">
        <is>
          <t>Föryngringsavverkning</t>
        </is>
      </c>
      <c r="D266" s="1" t="n">
        <v>44582</v>
      </c>
      <c r="E266" s="1" t="n">
        <v>46223</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s="2" t="inlineStr"/>
    </row>
    <row r="267" ht="15" customHeight="1">
      <c r="A267" t="inlineStr">
        <is>
          <t>A 65151-2023</t>
        </is>
      </c>
      <c r="B267" t="inlineStr">
        <is>
          <t>avverkningsanmälan</t>
        </is>
      </c>
      <c r="C267" t="inlineStr">
        <is>
          <t>Föryngringsavverkning</t>
        </is>
      </c>
      <c r="D267" s="1" t="n">
        <v>45288</v>
      </c>
      <c r="E267" s="1" t="n">
        <v>46223</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58238-2022</t>
        </is>
      </c>
      <c r="B268" t="inlineStr">
        <is>
          <t>avverkningsanmälan</t>
        </is>
      </c>
      <c r="C268" t="inlineStr">
        <is>
          <t>Föryngringsavverkning</t>
        </is>
      </c>
      <c r="D268" s="1" t="n">
        <v>44901</v>
      </c>
      <c r="E268" s="1" t="n">
        <v>46223</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28108-2026</t>
        </is>
      </c>
      <c r="B269" t="inlineStr">
        <is>
          <t>avverkningsanmälan</t>
        </is>
      </c>
      <c r="C269" t="inlineStr">
        <is>
          <t>Avverkning för annat ändamål</t>
        </is>
      </c>
      <c r="D269" s="1" t="n">
        <v>46195</v>
      </c>
      <c r="E269" s="1" t="n">
        <v>46223</v>
      </c>
      <c r="F269" t="inlineStr">
        <is>
          <t>SÖDERMANLANDS LÄN</t>
        </is>
      </c>
      <c r="G269" t="inlineStr">
        <is>
          <t>STRÄNGNÄS</t>
        </is>
      </c>
      <c r="H269" t="inlineStr">
        <is>
          <t>Övriga Aktiebolag</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43386-2022</t>
        </is>
      </c>
      <c r="B270" t="inlineStr">
        <is>
          <t>avverkningsanmälan</t>
        </is>
      </c>
      <c r="C270" t="inlineStr">
        <is>
          <t>Föryngringsavverkning</t>
        </is>
      </c>
      <c r="D270" s="1" t="n">
        <v>44834</v>
      </c>
      <c r="E270" s="1" t="n">
        <v>46223</v>
      </c>
      <c r="F270" t="inlineStr">
        <is>
          <t>SÖDERMANLANDS LÄN</t>
        </is>
      </c>
      <c r="G270" t="inlineStr">
        <is>
          <t>STRÄNGNÄS</t>
        </is>
      </c>
      <c r="I270" t="n">
        <v>5.1</v>
      </c>
      <c r="J270" t="n">
        <v>0</v>
      </c>
      <c r="K270" t="n">
        <v>0</v>
      </c>
      <c r="L270" t="n">
        <v>0</v>
      </c>
      <c r="M270" t="n">
        <v>0</v>
      </c>
      <c r="N270" t="n">
        <v>0</v>
      </c>
      <c r="O270" t="n">
        <v>0</v>
      </c>
      <c r="P270" t="n">
        <v>0</v>
      </c>
      <c r="Q270" t="n">
        <v>0</v>
      </c>
      <c r="R270" t="n">
        <v>0</v>
      </c>
      <c r="S270" t="n">
        <v>0</v>
      </c>
      <c r="T270" t="n">
        <v>0</v>
      </c>
      <c r="U270" s="2" t="inlineStr"/>
    </row>
    <row r="271" ht="15" customHeight="1">
      <c r="A271" t="inlineStr">
        <is>
          <t>A 60747-2021</t>
        </is>
      </c>
      <c r="B271" t="inlineStr">
        <is>
          <t>avverkningsanmälan</t>
        </is>
      </c>
      <c r="C271" t="inlineStr">
        <is>
          <t>Föryngringsavverkning</t>
        </is>
      </c>
      <c r="D271" s="1" t="n">
        <v>44496</v>
      </c>
      <c r="E271" s="1" t="n">
        <v>46223</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s="2" t="inlineStr"/>
    </row>
    <row r="272" ht="15" customHeight="1">
      <c r="A272" t="inlineStr">
        <is>
          <t>A 20506-2022</t>
        </is>
      </c>
      <c r="B272" t="inlineStr">
        <is>
          <t>avverkningsanmälan</t>
        </is>
      </c>
      <c r="C272" t="inlineStr">
        <is>
          <t>Föryngringsavverkning</t>
        </is>
      </c>
      <c r="D272" s="1" t="n">
        <v>44699</v>
      </c>
      <c r="E272" s="1" t="n">
        <v>46223</v>
      </c>
      <c r="F272" t="inlineStr">
        <is>
          <t>SÖDERMANLANDS LÄN</t>
        </is>
      </c>
      <c r="G272" t="inlineStr">
        <is>
          <t>STRÄNGNÄS</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53904-2022</t>
        </is>
      </c>
      <c r="B273" t="inlineStr">
        <is>
          <t>avverkningsanmälan</t>
        </is>
      </c>
      <c r="C273" t="inlineStr">
        <is>
          <t>Föryngringsavverkning</t>
        </is>
      </c>
      <c r="D273" s="1" t="n">
        <v>44880</v>
      </c>
      <c r="E273" s="1" t="n">
        <v>46223</v>
      </c>
      <c r="F273" t="inlineStr">
        <is>
          <t>SÖDERMANLANDS LÄN</t>
        </is>
      </c>
      <c r="G273" t="inlineStr">
        <is>
          <t>STRÄNGNÄS</t>
        </is>
      </c>
      <c r="I273" t="n">
        <v>2.9</v>
      </c>
      <c r="J273" t="n">
        <v>0</v>
      </c>
      <c r="K273" t="n">
        <v>0</v>
      </c>
      <c r="L273" t="n">
        <v>0</v>
      </c>
      <c r="M273" t="n">
        <v>0</v>
      </c>
      <c r="N273" t="n">
        <v>0</v>
      </c>
      <c r="O273" t="n">
        <v>0</v>
      </c>
      <c r="P273" t="n">
        <v>0</v>
      </c>
      <c r="Q273" t="n">
        <v>0</v>
      </c>
      <c r="R273" t="n">
        <v>0</v>
      </c>
      <c r="S273" t="n">
        <v>0</v>
      </c>
      <c r="T273" t="n">
        <v>0</v>
      </c>
      <c r="U273" s="2" t="inlineStr"/>
    </row>
    <row r="274" ht="15" customHeight="1">
      <c r="A274" t="inlineStr">
        <is>
          <t>A 34391-2024</t>
        </is>
      </c>
      <c r="B274" t="inlineStr">
        <is>
          <t>avverkningsanmälan</t>
        </is>
      </c>
      <c r="C274" t="inlineStr">
        <is>
          <t>Föryngringsavverkning</t>
        </is>
      </c>
      <c r="D274" s="1" t="n">
        <v>45525</v>
      </c>
      <c r="E274" s="1" t="n">
        <v>46223</v>
      </c>
      <c r="F274" t="inlineStr">
        <is>
          <t>SÖDERMANLANDS LÄN</t>
        </is>
      </c>
      <c r="G274" t="inlineStr">
        <is>
          <t>STRÄNGNÄS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11243-2023</t>
        </is>
      </c>
      <c r="B275" t="inlineStr">
        <is>
          <t>avverkningsanmälan</t>
        </is>
      </c>
      <c r="C275" t="inlineStr">
        <is>
          <t>Avverkning för annat ändamål</t>
        </is>
      </c>
      <c r="D275" s="1" t="n">
        <v>44992</v>
      </c>
      <c r="E275" s="1" t="n">
        <v>46223</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71414-2021</t>
        </is>
      </c>
      <c r="B276" t="inlineStr">
        <is>
          <t>avverkningsanmälan</t>
        </is>
      </c>
      <c r="C276" t="inlineStr">
        <is>
          <t>Föryngringsavverkning</t>
        </is>
      </c>
      <c r="D276" s="1" t="n">
        <v>44540</v>
      </c>
      <c r="E276" s="1" t="n">
        <v>46223</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58518-2021</t>
        </is>
      </c>
      <c r="B277" t="inlineStr">
        <is>
          <t>avverkningsanmälan</t>
        </is>
      </c>
      <c r="C277" t="inlineStr">
        <is>
          <t>Föryngringsavverkning</t>
        </is>
      </c>
      <c r="D277" s="1" t="n">
        <v>44488</v>
      </c>
      <c r="E277" s="1" t="n">
        <v>46223</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12114-2023</t>
        </is>
      </c>
      <c r="B278" t="inlineStr">
        <is>
          <t>avverkningsanmälan</t>
        </is>
      </c>
      <c r="C278" t="inlineStr">
        <is>
          <t>Föryngringsavverkning</t>
        </is>
      </c>
      <c r="D278" s="1" t="n">
        <v>44998</v>
      </c>
      <c r="E278" s="1" t="n">
        <v>46223</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s="2" t="inlineStr"/>
    </row>
    <row r="279" ht="15" customHeight="1">
      <c r="A279" t="inlineStr">
        <is>
          <t>A 44618-2023</t>
        </is>
      </c>
      <c r="B279" t="inlineStr">
        <is>
          <t>avverkningsanmälan</t>
        </is>
      </c>
      <c r="C279" t="inlineStr">
        <is>
          <t>Föryngringsavverkning</t>
        </is>
      </c>
      <c r="D279" s="1" t="n">
        <v>45189</v>
      </c>
      <c r="E279" s="1" t="n">
        <v>46223</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23001-2023</t>
        </is>
      </c>
      <c r="B280" t="inlineStr">
        <is>
          <t>avverkningsanmälan</t>
        </is>
      </c>
      <c r="C280" t="inlineStr">
        <is>
          <t>Föryngringsavverkning</t>
        </is>
      </c>
      <c r="D280" s="1" t="n">
        <v>45072</v>
      </c>
      <c r="E280" s="1" t="n">
        <v>46223</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10543-2026</t>
        </is>
      </c>
      <c r="B281" t="inlineStr">
        <is>
          <t>avverkningsanmälan</t>
        </is>
      </c>
      <c r="C281" t="inlineStr">
        <is>
          <t>Föryngringsavverkning</t>
        </is>
      </c>
      <c r="D281" s="1" t="n">
        <v>46077</v>
      </c>
      <c r="E281" s="1" t="n">
        <v>46223</v>
      </c>
      <c r="F281" t="inlineStr">
        <is>
          <t>SÖDERMANLANDS LÄN</t>
        </is>
      </c>
      <c r="G281" t="inlineStr">
        <is>
          <t>STRÄNGNÄS</t>
        </is>
      </c>
      <c r="H281" t="inlineStr">
        <is>
          <t>Övriga Aktiebolag</t>
        </is>
      </c>
      <c r="I281" t="n">
        <v>8.199999999999999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9704-2022</t>
        </is>
      </c>
      <c r="B282" t="inlineStr">
        <is>
          <t>avverkningsanmälan</t>
        </is>
      </c>
      <c r="C282" t="inlineStr">
        <is>
          <t>Föryngringsavverkning</t>
        </is>
      </c>
      <c r="D282" s="1" t="n">
        <v>44617</v>
      </c>
      <c r="E282" s="1" t="n">
        <v>46223</v>
      </c>
      <c r="F282" t="inlineStr">
        <is>
          <t>SÖDERMANLANDS LÄN</t>
        </is>
      </c>
      <c r="G282" t="inlineStr">
        <is>
          <t>STRÄNGNÄS</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18508-2024</t>
        </is>
      </c>
      <c r="B283" t="inlineStr">
        <is>
          <t>avverkningsanmälan</t>
        </is>
      </c>
      <c r="C283" t="inlineStr">
        <is>
          <t>Föryngringsavverkning</t>
        </is>
      </c>
      <c r="D283" s="1" t="n">
        <v>45425</v>
      </c>
      <c r="E283" s="1" t="n">
        <v>46223</v>
      </c>
      <c r="F283" t="inlineStr">
        <is>
          <t>SÖDERMANLANDS LÄN</t>
        </is>
      </c>
      <c r="G283" t="inlineStr">
        <is>
          <t>STRÄNGNÄS</t>
        </is>
      </c>
      <c r="I283" t="n">
        <v>4.7</v>
      </c>
      <c r="J283" t="n">
        <v>0</v>
      </c>
      <c r="K283" t="n">
        <v>0</v>
      </c>
      <c r="L283" t="n">
        <v>0</v>
      </c>
      <c r="M283" t="n">
        <v>0</v>
      </c>
      <c r="N283" t="n">
        <v>0</v>
      </c>
      <c r="O283" t="n">
        <v>0</v>
      </c>
      <c r="P283" t="n">
        <v>0</v>
      </c>
      <c r="Q283" t="n">
        <v>0</v>
      </c>
      <c r="R283" t="n">
        <v>0</v>
      </c>
      <c r="S283" t="n">
        <v>0</v>
      </c>
      <c r="T283" t="n">
        <v>0</v>
      </c>
      <c r="U283" s="2" t="inlineStr"/>
    </row>
    <row r="284" ht="15" customHeight="1">
      <c r="A284" t="inlineStr">
        <is>
          <t>A 13613-2023</t>
        </is>
      </c>
      <c r="B284" t="inlineStr">
        <is>
          <t>avverkningsanmälan</t>
        </is>
      </c>
      <c r="C284" t="inlineStr">
        <is>
          <t>Föryngringsavverkning</t>
        </is>
      </c>
      <c r="D284" s="1" t="n">
        <v>45006</v>
      </c>
      <c r="E284" s="1" t="n">
        <v>46223</v>
      </c>
      <c r="F284" t="inlineStr">
        <is>
          <t>SÖDERMANLANDS LÄN</t>
        </is>
      </c>
      <c r="G284" t="inlineStr">
        <is>
          <t>STRÄNGNÄS</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21015-2023</t>
        </is>
      </c>
      <c r="B285" t="inlineStr">
        <is>
          <t>avverkningsanmälan</t>
        </is>
      </c>
      <c r="C285" t="inlineStr">
        <is>
          <t>Föryngringsavverkning</t>
        </is>
      </c>
      <c r="D285" s="1" t="n">
        <v>45056</v>
      </c>
      <c r="E285" s="1" t="n">
        <v>46223</v>
      </c>
      <c r="F285" t="inlineStr">
        <is>
          <t>SÖDERMANLANDS LÄN</t>
        </is>
      </c>
      <c r="G285" t="inlineStr">
        <is>
          <t>STRÄNGNÄS</t>
        </is>
      </c>
      <c r="I285" t="n">
        <v>5.2</v>
      </c>
      <c r="J285" t="n">
        <v>0</v>
      </c>
      <c r="K285" t="n">
        <v>0</v>
      </c>
      <c r="L285" t="n">
        <v>0</v>
      </c>
      <c r="M285" t="n">
        <v>0</v>
      </c>
      <c r="N285" t="n">
        <v>0</v>
      </c>
      <c r="O285" t="n">
        <v>0</v>
      </c>
      <c r="P285" t="n">
        <v>0</v>
      </c>
      <c r="Q285" t="n">
        <v>0</v>
      </c>
      <c r="R285" t="n">
        <v>0</v>
      </c>
      <c r="S285" t="n">
        <v>0</v>
      </c>
      <c r="T285" t="n">
        <v>0</v>
      </c>
      <c r="U285" s="2" t="inlineStr"/>
    </row>
    <row r="286" ht="15" customHeight="1">
      <c r="A286" t="inlineStr">
        <is>
          <t>A 30375-2022</t>
        </is>
      </c>
      <c r="B286" t="inlineStr">
        <is>
          <t>avverkningsanmälan</t>
        </is>
      </c>
      <c r="C286" t="inlineStr">
        <is>
          <t>Föryngringsavverkning</t>
        </is>
      </c>
      <c r="D286" s="1" t="n">
        <v>44760</v>
      </c>
      <c r="E286" s="1" t="n">
        <v>46223</v>
      </c>
      <c r="F286" t="inlineStr">
        <is>
          <t>SÖDERMANLANDS LÄN</t>
        </is>
      </c>
      <c r="G286" t="inlineStr">
        <is>
          <t>STRÄNGNÄS</t>
        </is>
      </c>
      <c r="I286" t="n">
        <v>5</v>
      </c>
      <c r="J286" t="n">
        <v>0</v>
      </c>
      <c r="K286" t="n">
        <v>0</v>
      </c>
      <c r="L286" t="n">
        <v>0</v>
      </c>
      <c r="M286" t="n">
        <v>0</v>
      </c>
      <c r="N286" t="n">
        <v>0</v>
      </c>
      <c r="O286" t="n">
        <v>0</v>
      </c>
      <c r="P286" t="n">
        <v>0</v>
      </c>
      <c r="Q286" t="n">
        <v>0</v>
      </c>
      <c r="R286" t="n">
        <v>0</v>
      </c>
      <c r="S286" t="n">
        <v>0</v>
      </c>
      <c r="T286" t="n">
        <v>0</v>
      </c>
      <c r="U286" s="2" t="inlineStr"/>
    </row>
    <row r="287" ht="15" customHeight="1">
      <c r="A287" t="inlineStr">
        <is>
          <t>A 56914-2022</t>
        </is>
      </c>
      <c r="B287" t="inlineStr">
        <is>
          <t>avverkningsanmälan</t>
        </is>
      </c>
      <c r="C287" t="inlineStr">
        <is>
          <t>Föryngringsavverkning</t>
        </is>
      </c>
      <c r="D287" s="1" t="n">
        <v>44894</v>
      </c>
      <c r="E287" s="1" t="n">
        <v>46223</v>
      </c>
      <c r="F287" t="inlineStr">
        <is>
          <t>SÖDERMANLANDS LÄN</t>
        </is>
      </c>
      <c r="G287" t="inlineStr">
        <is>
          <t>STRÄNGNÄS</t>
        </is>
      </c>
      <c r="I287" t="n">
        <v>13.2</v>
      </c>
      <c r="J287" t="n">
        <v>0</v>
      </c>
      <c r="K287" t="n">
        <v>0</v>
      </c>
      <c r="L287" t="n">
        <v>0</v>
      </c>
      <c r="M287" t="n">
        <v>0</v>
      </c>
      <c r="N287" t="n">
        <v>0</v>
      </c>
      <c r="O287" t="n">
        <v>0</v>
      </c>
      <c r="P287" t="n">
        <v>0</v>
      </c>
      <c r="Q287" t="n">
        <v>0</v>
      </c>
      <c r="R287" t="n">
        <v>0</v>
      </c>
      <c r="S287" t="n">
        <v>0</v>
      </c>
      <c r="T287" t="n">
        <v>0</v>
      </c>
      <c r="U287" s="2" t="inlineStr"/>
    </row>
    <row r="288" ht="15" customHeight="1">
      <c r="A288" t="inlineStr">
        <is>
          <t>A 18242-2023</t>
        </is>
      </c>
      <c r="B288" t="inlineStr">
        <is>
          <t>avverkningsanmälan</t>
        </is>
      </c>
      <c r="C288" t="inlineStr">
        <is>
          <t>Föryngringsavverkning</t>
        </is>
      </c>
      <c r="D288" s="1" t="n">
        <v>45041</v>
      </c>
      <c r="E288" s="1" t="n">
        <v>46223</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18358-2024</t>
        </is>
      </c>
      <c r="B289" t="inlineStr">
        <is>
          <t>avverkningsanmälan</t>
        </is>
      </c>
      <c r="C289" t="inlineStr">
        <is>
          <t>Föryngringsavverkning</t>
        </is>
      </c>
      <c r="D289" s="1" t="n">
        <v>45422</v>
      </c>
      <c r="E289" s="1" t="n">
        <v>46223</v>
      </c>
      <c r="F289" t="inlineStr">
        <is>
          <t>SÖDERMANLANDS LÄN</t>
        </is>
      </c>
      <c r="G289" t="inlineStr">
        <is>
          <t>STRÄNGNÄS</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10350-2023</t>
        </is>
      </c>
      <c r="B290" t="inlineStr">
        <is>
          <t>avverkningsanmälan</t>
        </is>
      </c>
      <c r="C290" t="inlineStr">
        <is>
          <t>Föryngringsavverkning</t>
        </is>
      </c>
      <c r="D290" s="1" t="n">
        <v>44987</v>
      </c>
      <c r="E290" s="1" t="n">
        <v>46223</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5849-2023</t>
        </is>
      </c>
      <c r="B291" t="inlineStr">
        <is>
          <t>avverkningsanmälan</t>
        </is>
      </c>
      <c r="C291" t="inlineStr">
        <is>
          <t>Föryngringsavverkning</t>
        </is>
      </c>
      <c r="D291" s="1" t="n">
        <v>44963</v>
      </c>
      <c r="E291" s="1" t="n">
        <v>46223</v>
      </c>
      <c r="F291" t="inlineStr">
        <is>
          <t>SÖDERMANLANDS LÄN</t>
        </is>
      </c>
      <c r="G291" t="inlineStr">
        <is>
          <t>STRÄNGNÄS</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43669-2022</t>
        </is>
      </c>
      <c r="B292" t="inlineStr">
        <is>
          <t>avverkningsanmälan</t>
        </is>
      </c>
      <c r="C292" t="inlineStr">
        <is>
          <t>Föryngringsavverkning</t>
        </is>
      </c>
      <c r="D292" s="1" t="n">
        <v>44834</v>
      </c>
      <c r="E292" s="1" t="n">
        <v>46223</v>
      </c>
      <c r="F292" t="inlineStr">
        <is>
          <t>SÖDERMANLANDS LÄN</t>
        </is>
      </c>
      <c r="G292" t="inlineStr">
        <is>
          <t>STRÄNGNÄS</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23961-2026</t>
        </is>
      </c>
      <c r="B293" t="inlineStr">
        <is>
          <t>avverkningsanmälan</t>
        </is>
      </c>
      <c r="C293" t="inlineStr">
        <is>
          <t>Föryngringsavverkning</t>
        </is>
      </c>
      <c r="D293" s="1" t="n">
        <v>46167</v>
      </c>
      <c r="E293" s="1" t="n">
        <v>46223</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14847-2023</t>
        </is>
      </c>
      <c r="B294" t="inlineStr">
        <is>
          <t>avverkningsanmälan</t>
        </is>
      </c>
      <c r="C294" t="inlineStr">
        <is>
          <t>Föryngringsavverkning</t>
        </is>
      </c>
      <c r="D294" s="1" t="n">
        <v>45014</v>
      </c>
      <c r="E294" s="1" t="n">
        <v>46223</v>
      </c>
      <c r="F294" t="inlineStr">
        <is>
          <t>SÖDERMANLANDS LÄN</t>
        </is>
      </c>
      <c r="G294" t="inlineStr">
        <is>
          <t>STRÄNGNÄS</t>
        </is>
      </c>
      <c r="H294" t="inlineStr">
        <is>
          <t>Allmännings- och besparingsskogar</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23995-2026</t>
        </is>
      </c>
      <c r="B295" t="inlineStr">
        <is>
          <t>avverkningsanmälan</t>
        </is>
      </c>
      <c r="C295" t="inlineStr">
        <is>
          <t>Föryngringsavverkning</t>
        </is>
      </c>
      <c r="D295" s="1" t="n">
        <v>46167</v>
      </c>
      <c r="E295" s="1" t="n">
        <v>46223</v>
      </c>
      <c r="F295" t="inlineStr">
        <is>
          <t>SÖDERMANLANDS LÄN</t>
        </is>
      </c>
      <c r="G295" t="inlineStr">
        <is>
          <t>STRÄNGNÄS</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25542-2023</t>
        </is>
      </c>
      <c r="B296" t="inlineStr">
        <is>
          <t>avverkningsanmälan</t>
        </is>
      </c>
      <c r="C296" t="inlineStr">
        <is>
          <t>Föryngringsavverkning</t>
        </is>
      </c>
      <c r="D296" s="1" t="n">
        <v>45089</v>
      </c>
      <c r="E296" s="1" t="n">
        <v>46223</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20938-2023</t>
        </is>
      </c>
      <c r="B297" t="inlineStr">
        <is>
          <t>avverkningsanmälan</t>
        </is>
      </c>
      <c r="C297" t="inlineStr">
        <is>
          <t>Föryngringsavverkning</t>
        </is>
      </c>
      <c r="D297" s="1" t="n">
        <v>45061</v>
      </c>
      <c r="E297" s="1" t="n">
        <v>46223</v>
      </c>
      <c r="F297" t="inlineStr">
        <is>
          <t>SÖDERMANLANDS LÄN</t>
        </is>
      </c>
      <c r="G297" t="inlineStr">
        <is>
          <t>STRÄNGNÄS</t>
        </is>
      </c>
      <c r="I297" t="n">
        <v>3.8</v>
      </c>
      <c r="J297" t="n">
        <v>0</v>
      </c>
      <c r="K297" t="n">
        <v>0</v>
      </c>
      <c r="L297" t="n">
        <v>0</v>
      </c>
      <c r="M297" t="n">
        <v>0</v>
      </c>
      <c r="N297" t="n">
        <v>0</v>
      </c>
      <c r="O297" t="n">
        <v>0</v>
      </c>
      <c r="P297" t="n">
        <v>0</v>
      </c>
      <c r="Q297" t="n">
        <v>0</v>
      </c>
      <c r="R297" t="n">
        <v>0</v>
      </c>
      <c r="S297" t="n">
        <v>0</v>
      </c>
      <c r="T297" t="n">
        <v>0</v>
      </c>
      <c r="U297" s="2" t="inlineStr"/>
    </row>
    <row r="298" ht="15" customHeight="1">
      <c r="A298" t="inlineStr">
        <is>
          <t>A 26282-2023</t>
        </is>
      </c>
      <c r="B298" t="inlineStr">
        <is>
          <t>avverkningsanmälan</t>
        </is>
      </c>
      <c r="C298" t="inlineStr">
        <is>
          <t>Föryngringsavverkning</t>
        </is>
      </c>
      <c r="D298" s="1" t="n">
        <v>45091</v>
      </c>
      <c r="E298" s="1" t="n">
        <v>46223</v>
      </c>
      <c r="F298" t="inlineStr">
        <is>
          <t>SÖDERMANLANDS LÄN</t>
        </is>
      </c>
      <c r="G298" t="inlineStr">
        <is>
          <t>STRÄNGNÄS</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34364-2023</t>
        </is>
      </c>
      <c r="B299" t="inlineStr">
        <is>
          <t>avverkningsanmälan</t>
        </is>
      </c>
      <c r="C299" t="inlineStr">
        <is>
          <t>Föryngringsavverkning</t>
        </is>
      </c>
      <c r="D299" s="1" t="n">
        <v>45131</v>
      </c>
      <c r="E299" s="1" t="n">
        <v>46223</v>
      </c>
      <c r="F299" t="inlineStr">
        <is>
          <t>SÖDERMANLANDS LÄN</t>
        </is>
      </c>
      <c r="G299" t="inlineStr">
        <is>
          <t>STRÄNGNÄS</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51763-2022</t>
        </is>
      </c>
      <c r="B300" t="inlineStr">
        <is>
          <t>avverkningsanmälan</t>
        </is>
      </c>
      <c r="C300" t="inlineStr">
        <is>
          <t>Föryngringsavverkning</t>
        </is>
      </c>
      <c r="D300" s="1" t="n">
        <v>44872</v>
      </c>
      <c r="E300" s="1" t="n">
        <v>46223</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27680-2026</t>
        </is>
      </c>
      <c r="B301" t="inlineStr">
        <is>
          <t>avverkningsanmälan</t>
        </is>
      </c>
      <c r="C301" t="inlineStr">
        <is>
          <t>Föryngringsavverkning</t>
        </is>
      </c>
      <c r="D301" s="1" t="n">
        <v>46188</v>
      </c>
      <c r="E301" s="1" t="n">
        <v>46223</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30753-2026</t>
        </is>
      </c>
      <c r="B302" t="inlineStr">
        <is>
          <t>avverkningsanmälan</t>
        </is>
      </c>
      <c r="C302" t="inlineStr">
        <is>
          <t>Avverkning för annat ändamål</t>
        </is>
      </c>
      <c r="D302" s="1" t="n">
        <v>46212</v>
      </c>
      <c r="E302" s="1" t="n">
        <v>46223</v>
      </c>
      <c r="F302" t="inlineStr">
        <is>
          <t>SÖDERMANLANDS LÄN</t>
        </is>
      </c>
      <c r="G302" t="inlineStr">
        <is>
          <t>STRÄNGNÄS</t>
        </is>
      </c>
      <c r="H302" t="inlineStr">
        <is>
          <t>Övriga Aktiebolag</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24694-2026</t>
        </is>
      </c>
      <c r="B303" t="inlineStr">
        <is>
          <t>avverkningsanmälan</t>
        </is>
      </c>
      <c r="C303" t="inlineStr">
        <is>
          <t>Föryngringsavverkning</t>
        </is>
      </c>
      <c r="D303" s="1" t="n">
        <v>46171</v>
      </c>
      <c r="E303" s="1" t="n">
        <v>46223</v>
      </c>
      <c r="F303" t="inlineStr">
        <is>
          <t>SÖDERMANLANDS LÄN</t>
        </is>
      </c>
      <c r="G303" t="inlineStr">
        <is>
          <t>STRÄNGNÄS</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20815-2023</t>
        </is>
      </c>
      <c r="B304" t="inlineStr">
        <is>
          <t>avverkningsanmälan</t>
        </is>
      </c>
      <c r="C304" t="inlineStr">
        <is>
          <t>Föryngringsavverkning</t>
        </is>
      </c>
      <c r="D304" s="1" t="n">
        <v>45058</v>
      </c>
      <c r="E304" s="1" t="n">
        <v>46223</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67925-2021</t>
        </is>
      </c>
      <c r="B305" t="inlineStr">
        <is>
          <t>avverkningsanmälan</t>
        </is>
      </c>
      <c r="C305" t="inlineStr">
        <is>
          <t>Föryngringsavverkning</t>
        </is>
      </c>
      <c r="D305" s="1" t="n">
        <v>44525</v>
      </c>
      <c r="E305" s="1" t="n">
        <v>46223</v>
      </c>
      <c r="F305" t="inlineStr">
        <is>
          <t>SÖDERMANLANDS LÄN</t>
        </is>
      </c>
      <c r="G305" t="inlineStr">
        <is>
          <t>STRÄNGNÄS</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13259-2022</t>
        </is>
      </c>
      <c r="B306" t="inlineStr">
        <is>
          <t>avverkningsanmälan</t>
        </is>
      </c>
      <c r="C306" t="inlineStr">
        <is>
          <t>Föryngringsavverkning</t>
        </is>
      </c>
      <c r="D306" s="1" t="n">
        <v>44644</v>
      </c>
      <c r="E306" s="1" t="n">
        <v>46223</v>
      </c>
      <c r="F306" t="inlineStr">
        <is>
          <t>SÖDERMANLANDS LÄN</t>
        </is>
      </c>
      <c r="G306" t="inlineStr">
        <is>
          <t>STRÄNGNÄS</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24680-2026</t>
        </is>
      </c>
      <c r="B307" t="inlineStr">
        <is>
          <t>avverkningsanmälan</t>
        </is>
      </c>
      <c r="C307" t="inlineStr">
        <is>
          <t>Föryngringsavverkning</t>
        </is>
      </c>
      <c r="D307" s="1" t="n">
        <v>46171</v>
      </c>
      <c r="E307" s="1" t="n">
        <v>46223</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24691-2026</t>
        </is>
      </c>
      <c r="B308" t="inlineStr">
        <is>
          <t>avverkningsanmälan</t>
        </is>
      </c>
      <c r="C308" t="inlineStr">
        <is>
          <t>Föryngringsavverkning</t>
        </is>
      </c>
      <c r="D308" s="1" t="n">
        <v>46171</v>
      </c>
      <c r="E308" s="1" t="n">
        <v>46223</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25077-2026</t>
        </is>
      </c>
      <c r="B309" t="inlineStr">
        <is>
          <t>avverkningsanmälan</t>
        </is>
      </c>
      <c r="C309" t="inlineStr">
        <is>
          <t>Föryngringsavverkning</t>
        </is>
      </c>
      <c r="D309" s="1" t="n">
        <v>46174</v>
      </c>
      <c r="E309" s="1" t="n">
        <v>46223</v>
      </c>
      <c r="F309" t="inlineStr">
        <is>
          <t>SÖDERMANLANDS LÄN</t>
        </is>
      </c>
      <c r="G309" t="inlineStr">
        <is>
          <t>STRÄNGNÄS</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42726-2023</t>
        </is>
      </c>
      <c r="B310" t="inlineStr">
        <is>
          <t>avverkningsanmälan</t>
        </is>
      </c>
      <c r="C310" t="inlineStr">
        <is>
          <t>Föryngringsavverkning</t>
        </is>
      </c>
      <c r="D310" s="1" t="n">
        <v>45181</v>
      </c>
      <c r="E310" s="1" t="n">
        <v>46223</v>
      </c>
      <c r="F310" t="inlineStr">
        <is>
          <t>SÖDERMANLANDS LÄN</t>
        </is>
      </c>
      <c r="G310" t="inlineStr">
        <is>
          <t>STRÄNGNÄS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9232-2023</t>
        </is>
      </c>
      <c r="B311" t="inlineStr">
        <is>
          <t>avverkningsanmälan</t>
        </is>
      </c>
      <c r="C311" t="inlineStr">
        <is>
          <t>Föryngringsavverkning</t>
        </is>
      </c>
      <c r="D311" s="1" t="n">
        <v>44980</v>
      </c>
      <c r="E311" s="1" t="n">
        <v>46223</v>
      </c>
      <c r="F311" t="inlineStr">
        <is>
          <t>SÖDERMANLANDS LÄN</t>
        </is>
      </c>
      <c r="G311" t="inlineStr">
        <is>
          <t>STRÄNGNÄS</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10346-2023</t>
        </is>
      </c>
      <c r="B312" t="inlineStr">
        <is>
          <t>avverkningsanmälan</t>
        </is>
      </c>
      <c r="C312" t="inlineStr">
        <is>
          <t>Föryngringsavverkning</t>
        </is>
      </c>
      <c r="D312" s="1" t="n">
        <v>44987</v>
      </c>
      <c r="E312" s="1" t="n">
        <v>46223</v>
      </c>
      <c r="F312" t="inlineStr">
        <is>
          <t>SÖDERMANLANDS LÄN</t>
        </is>
      </c>
      <c r="G312" t="inlineStr">
        <is>
          <t>STRÄNGNÄS</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27677-2026</t>
        </is>
      </c>
      <c r="B313" t="inlineStr">
        <is>
          <t>avverkningsanmälan</t>
        </is>
      </c>
      <c r="C313" t="inlineStr">
        <is>
          <t>Föryngringsavverkning</t>
        </is>
      </c>
      <c r="D313" s="1" t="n">
        <v>46188</v>
      </c>
      <c r="E313" s="1" t="n">
        <v>46223</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58022-2022</t>
        </is>
      </c>
      <c r="B314" t="inlineStr">
        <is>
          <t>avverkningsanmälan</t>
        </is>
      </c>
      <c r="C314" t="inlineStr">
        <is>
          <t>Föryngringsavverkning</t>
        </is>
      </c>
      <c r="D314" s="1" t="n">
        <v>44900</v>
      </c>
      <c r="E314" s="1" t="n">
        <v>46223</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43387-2022</t>
        </is>
      </c>
      <c r="B315" t="inlineStr">
        <is>
          <t>avverkningsanmälan</t>
        </is>
      </c>
      <c r="C315" t="inlineStr">
        <is>
          <t>Föryngringsavverkning</t>
        </is>
      </c>
      <c r="D315" s="1" t="n">
        <v>44834</v>
      </c>
      <c r="E315" s="1" t="n">
        <v>46223</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s="2" t="inlineStr"/>
    </row>
    <row r="316" ht="15" customHeight="1">
      <c r="A316" t="inlineStr">
        <is>
          <t>A 9034-2023</t>
        </is>
      </c>
      <c r="B316" t="inlineStr">
        <is>
          <t>avverkningsanmälan</t>
        </is>
      </c>
      <c r="C316" t="inlineStr">
        <is>
          <t>Avverkning för annat ändamål</t>
        </is>
      </c>
      <c r="D316" s="1" t="n">
        <v>44979</v>
      </c>
      <c r="E316" s="1" t="n">
        <v>46223</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5805-2022</t>
        </is>
      </c>
      <c r="B317" t="inlineStr">
        <is>
          <t>avverkningsanmälan</t>
        </is>
      </c>
      <c r="C317" t="inlineStr">
        <is>
          <t>Föryngringsavverkning</t>
        </is>
      </c>
      <c r="D317" s="1" t="n">
        <v>44596</v>
      </c>
      <c r="E317" s="1" t="n">
        <v>46223</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31442-2026</t>
        </is>
      </c>
      <c r="B318" t="inlineStr">
        <is>
          <t>avverkningsanmälan</t>
        </is>
      </c>
      <c r="C318" t="inlineStr">
        <is>
          <t>Föryngringsavverkning</t>
        </is>
      </c>
      <c r="D318" s="1" t="n">
        <v>46217</v>
      </c>
      <c r="E318" s="1" t="n">
        <v>46223</v>
      </c>
      <c r="F318" t="inlineStr">
        <is>
          <t>SÖDERMANLANDS LÄN</t>
        </is>
      </c>
      <c r="G318" t="inlineStr">
        <is>
          <t>STRÄNGNÄS</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45984-2022</t>
        </is>
      </c>
      <c r="B319" t="inlineStr">
        <is>
          <t>avverkningsanmälan</t>
        </is>
      </c>
      <c r="C319" t="inlineStr">
        <is>
          <t>Föryngringsavverkning</t>
        </is>
      </c>
      <c r="D319" s="1" t="n">
        <v>44846</v>
      </c>
      <c r="E319" s="1" t="n">
        <v>46223</v>
      </c>
      <c r="F319" t="inlineStr">
        <is>
          <t>SÖDERMANLANDS LÄN</t>
        </is>
      </c>
      <c r="G319" t="inlineStr">
        <is>
          <t>STRÄNGNÄS</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4320-2023</t>
        </is>
      </c>
      <c r="B320" t="inlineStr">
        <is>
          <t>avverkningsanmälan</t>
        </is>
      </c>
      <c r="C320" t="inlineStr">
        <is>
          <t>Föryngringsavverkning</t>
        </is>
      </c>
      <c r="D320" s="1" t="n">
        <v>44953</v>
      </c>
      <c r="E320" s="1" t="n">
        <v>46223</v>
      </c>
      <c r="F320" t="inlineStr">
        <is>
          <t>SÖDERMANLANDS LÄN</t>
        </is>
      </c>
      <c r="G320" t="inlineStr">
        <is>
          <t>STRÄNGNÄS</t>
        </is>
      </c>
      <c r="H320" t="inlineStr">
        <is>
          <t>Allmännings- och besparingsskogar</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53897-2022</t>
        </is>
      </c>
      <c r="B321" t="inlineStr">
        <is>
          <t>avverkningsanmälan</t>
        </is>
      </c>
      <c r="C321" t="inlineStr">
        <is>
          <t>Föryngringsavverkning</t>
        </is>
      </c>
      <c r="D321" s="1" t="n">
        <v>44880</v>
      </c>
      <c r="E321" s="1" t="n">
        <v>46223</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28104-2025</t>
        </is>
      </c>
      <c r="B322" t="inlineStr">
        <is>
          <t>avverkningsanmälan</t>
        </is>
      </c>
      <c r="C322" t="inlineStr">
        <is>
          <t>Föryngringsavverkning</t>
        </is>
      </c>
      <c r="D322" s="1" t="n">
        <v>45817</v>
      </c>
      <c r="E322" s="1" t="n">
        <v>46223</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52904-2023</t>
        </is>
      </c>
      <c r="B323" t="inlineStr">
        <is>
          <t>avverkningsanmälan</t>
        </is>
      </c>
      <c r="C323" t="inlineStr">
        <is>
          <t>Föryngringsavverkning</t>
        </is>
      </c>
      <c r="D323" s="1" t="n">
        <v>45226</v>
      </c>
      <c r="E323" s="1" t="n">
        <v>46223</v>
      </c>
      <c r="F323" t="inlineStr">
        <is>
          <t>SÖDERMANLANDS LÄN</t>
        </is>
      </c>
      <c r="G323" t="inlineStr">
        <is>
          <t>STRÄNGNÄS</t>
        </is>
      </c>
      <c r="I323" t="n">
        <v>9.9</v>
      </c>
      <c r="J323" t="n">
        <v>0</v>
      </c>
      <c r="K323" t="n">
        <v>0</v>
      </c>
      <c r="L323" t="n">
        <v>0</v>
      </c>
      <c r="M323" t="n">
        <v>0</v>
      </c>
      <c r="N323" t="n">
        <v>0</v>
      </c>
      <c r="O323" t="n">
        <v>0</v>
      </c>
      <c r="P323" t="n">
        <v>0</v>
      </c>
      <c r="Q323" t="n">
        <v>0</v>
      </c>
      <c r="R323" t="n">
        <v>0</v>
      </c>
      <c r="S323" t="n">
        <v>0</v>
      </c>
      <c r="T323" t="n">
        <v>0</v>
      </c>
      <c r="U323" s="2" t="inlineStr"/>
    </row>
    <row r="324" ht="15" customHeight="1">
      <c r="A324" t="inlineStr">
        <is>
          <t>A 36811-2022</t>
        </is>
      </c>
      <c r="B324" t="inlineStr">
        <is>
          <t>avverkningsanmälan</t>
        </is>
      </c>
      <c r="C324" t="inlineStr">
        <is>
          <t>Föryngringsavverkning</t>
        </is>
      </c>
      <c r="D324" s="1" t="n">
        <v>44805</v>
      </c>
      <c r="E324" s="1" t="n">
        <v>46223</v>
      </c>
      <c r="F324" t="inlineStr">
        <is>
          <t>SÖDERMANLANDS LÄN</t>
        </is>
      </c>
      <c r="G324" t="inlineStr">
        <is>
          <t>STRÄNGNÄS</t>
        </is>
      </c>
      <c r="I324" t="n">
        <v>11.6</v>
      </c>
      <c r="J324" t="n">
        <v>0</v>
      </c>
      <c r="K324" t="n">
        <v>0</v>
      </c>
      <c r="L324" t="n">
        <v>0</v>
      </c>
      <c r="M324" t="n">
        <v>0</v>
      </c>
      <c r="N324" t="n">
        <v>0</v>
      </c>
      <c r="O324" t="n">
        <v>0</v>
      </c>
      <c r="P324" t="n">
        <v>0</v>
      </c>
      <c r="Q324" t="n">
        <v>0</v>
      </c>
      <c r="R324" t="n">
        <v>0</v>
      </c>
      <c r="S324" t="n">
        <v>0</v>
      </c>
      <c r="T324" t="n">
        <v>0</v>
      </c>
      <c r="U324" s="2" t="inlineStr"/>
    </row>
    <row r="325" ht="15" customHeight="1">
      <c r="A325" t="inlineStr">
        <is>
          <t>A 12818-2023</t>
        </is>
      </c>
      <c r="B325" t="inlineStr">
        <is>
          <t>avverkningsanmälan</t>
        </is>
      </c>
      <c r="C325" t="inlineStr">
        <is>
          <t>Avverkning för annat ändamål</t>
        </is>
      </c>
      <c r="D325" s="1" t="n">
        <v>45001</v>
      </c>
      <c r="E325" s="1" t="n">
        <v>46223</v>
      </c>
      <c r="F325" t="inlineStr">
        <is>
          <t>SÖDERMANLANDS LÄN</t>
        </is>
      </c>
      <c r="G325" t="inlineStr">
        <is>
          <t>STRÄNGNÄS</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57231-2024</t>
        </is>
      </c>
      <c r="B326" t="inlineStr">
        <is>
          <t>avverkningsanmälan</t>
        </is>
      </c>
      <c r="C326" t="inlineStr">
        <is>
          <t>Föryngringsavverkning</t>
        </is>
      </c>
      <c r="D326" s="1" t="n">
        <v>45629</v>
      </c>
      <c r="E326" s="1" t="n">
        <v>46223</v>
      </c>
      <c r="F326" t="inlineStr">
        <is>
          <t>SÖDERMANLANDS LÄN</t>
        </is>
      </c>
      <c r="G326" t="inlineStr">
        <is>
          <t>STRÄNGNÄS</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24823-2025</t>
        </is>
      </c>
      <c r="B327" t="inlineStr">
        <is>
          <t>avverkningsanmälan</t>
        </is>
      </c>
      <c r="C327" t="inlineStr">
        <is>
          <t>Föryngringsavverkning</t>
        </is>
      </c>
      <c r="D327" s="1" t="n">
        <v>45799</v>
      </c>
      <c r="E327" s="1" t="n">
        <v>46223</v>
      </c>
      <c r="F327" t="inlineStr">
        <is>
          <t>SÖDERMANLANDS LÄN</t>
        </is>
      </c>
      <c r="G327" t="inlineStr">
        <is>
          <t>STRÄNGNÄS</t>
        </is>
      </c>
      <c r="I327" t="n">
        <v>7</v>
      </c>
      <c r="J327" t="n">
        <v>0</v>
      </c>
      <c r="K327" t="n">
        <v>0</v>
      </c>
      <c r="L327" t="n">
        <v>0</v>
      </c>
      <c r="M327" t="n">
        <v>0</v>
      </c>
      <c r="N327" t="n">
        <v>0</v>
      </c>
      <c r="O327" t="n">
        <v>0</v>
      </c>
      <c r="P327" t="n">
        <v>0</v>
      </c>
      <c r="Q327" t="n">
        <v>0</v>
      </c>
      <c r="R327" t="n">
        <v>0</v>
      </c>
      <c r="S327" t="n">
        <v>0</v>
      </c>
      <c r="T327" t="n">
        <v>0</v>
      </c>
      <c r="U327" s="2" t="inlineStr"/>
    </row>
    <row r="328" ht="15" customHeight="1">
      <c r="A328" t="inlineStr">
        <is>
          <t>S 3845-2023</t>
        </is>
      </c>
      <c r="B328" t="inlineStr">
        <is>
          <t>samrådsanmälan</t>
        </is>
      </c>
      <c r="C328" t="inlineStr">
        <is>
          <t>Annan skogsbruksåtgärd</t>
        </is>
      </c>
      <c r="D328" s="1" t="n">
        <v>45235</v>
      </c>
      <c r="E328" s="1" t="n">
        <v>46223</v>
      </c>
      <c r="F328" t="inlineStr">
        <is>
          <t>SÖDERMANLANDS LÄN</t>
        </is>
      </c>
      <c r="G328" t="inlineStr">
        <is>
          <t>STRÄNGNÄS</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S 6304-2021</t>
        </is>
      </c>
      <c r="B329" t="inlineStr">
        <is>
          <t>samrådsanmälan</t>
        </is>
      </c>
      <c r="C329" t="inlineStr">
        <is>
          <t>Åtgärd i nyckelbiotop</t>
        </is>
      </c>
      <c r="D329" s="1" t="n">
        <v>44448</v>
      </c>
      <c r="E329" s="1" t="n">
        <v>46223</v>
      </c>
      <c r="F329" t="inlineStr">
        <is>
          <t>SÖDERMANLANDS LÄN</t>
        </is>
      </c>
      <c r="G329" t="inlineStr">
        <is>
          <t>STRÄNGNÄS</t>
        </is>
      </c>
      <c r="I329" t="n">
        <v>5.6</v>
      </c>
      <c r="J329" t="n">
        <v>0</v>
      </c>
      <c r="K329" t="n">
        <v>0</v>
      </c>
      <c r="L329" t="n">
        <v>0</v>
      </c>
      <c r="M329" t="n">
        <v>0</v>
      </c>
      <c r="N329" t="n">
        <v>0</v>
      </c>
      <c r="O329" t="n">
        <v>0</v>
      </c>
      <c r="P329" t="n">
        <v>0</v>
      </c>
      <c r="Q329" t="n">
        <v>0</v>
      </c>
      <c r="R329" t="n">
        <v>0</v>
      </c>
      <c r="S329" t="n">
        <v>0</v>
      </c>
      <c r="T329" t="n">
        <v>0</v>
      </c>
      <c r="U329" s="2" t="inlineStr"/>
    </row>
    <row r="330" ht="15" customHeight="1">
      <c r="A330" t="inlineStr">
        <is>
          <t>S 3717-2023</t>
        </is>
      </c>
      <c r="B330" t="inlineStr">
        <is>
          <t>samrådsanmälan</t>
        </is>
      </c>
      <c r="C330" t="inlineStr">
        <is>
          <t>Annan skogsbruksåtgärd</t>
        </is>
      </c>
      <c r="D330" s="1" t="n">
        <v>45226</v>
      </c>
      <c r="E330" s="1" t="n">
        <v>46223</v>
      </c>
      <c r="F330" t="inlineStr">
        <is>
          <t>SÖDERMANLANDS LÄN</t>
        </is>
      </c>
      <c r="G330" t="inlineStr">
        <is>
          <t>STRÄNGNÄS</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S 3431-2025</t>
        </is>
      </c>
      <c r="B331" t="inlineStr">
        <is>
          <t>samrådsanmälan</t>
        </is>
      </c>
      <c r="C331" t="inlineStr">
        <is>
          <t>Annan skogsbruksåtgärd</t>
        </is>
      </c>
      <c r="D331" s="1" t="n">
        <v>45995</v>
      </c>
      <c r="E331" s="1" t="n">
        <v>46223</v>
      </c>
      <c r="F331" t="inlineStr">
        <is>
          <t>SÖDERMANLANDS LÄN</t>
        </is>
      </c>
      <c r="G331" t="inlineStr">
        <is>
          <t>STRÄNGNÄS</t>
        </is>
      </c>
      <c r="I331" t="n">
        <v>0.8</v>
      </c>
      <c r="J331" t="n">
        <v>0</v>
      </c>
      <c r="K331" t="n">
        <v>0</v>
      </c>
      <c r="L331" t="n">
        <v>0</v>
      </c>
      <c r="M331" t="n">
        <v>0</v>
      </c>
      <c r="N331" t="n">
        <v>0</v>
      </c>
      <c r="O331" t="n">
        <v>0</v>
      </c>
      <c r="P331" t="n">
        <v>0</v>
      </c>
      <c r="Q331" t="n">
        <v>0</v>
      </c>
      <c r="R331" t="n">
        <v>0</v>
      </c>
      <c r="S331" t="n">
        <v>0</v>
      </c>
      <c r="T331" t="n">
        <v>0</v>
      </c>
      <c r="U331" s="2" t="inlineStr"/>
    </row>
    <row r="332">
      <c r="A332" t="inlineStr">
        <is>
          <t>S 41-2026</t>
        </is>
      </c>
      <c r="B332" t="inlineStr">
        <is>
          <t>samrådsanmälan</t>
        </is>
      </c>
      <c r="C332" t="inlineStr">
        <is>
          <t>Annan skogsbruksåtgärd</t>
        </is>
      </c>
      <c r="D332" s="1" t="n">
        <v>46027</v>
      </c>
      <c r="E332" s="1" t="n">
        <v>46223</v>
      </c>
      <c r="F332" t="inlineStr">
        <is>
          <t>SÖDERMANLANDS LÄN</t>
        </is>
      </c>
      <c r="G332" t="inlineStr">
        <is>
          <t>STRÄNGNÄS</t>
        </is>
      </c>
      <c r="I332" t="n">
        <v>4.8</v>
      </c>
      <c r="J332" t="n">
        <v>0</v>
      </c>
      <c r="K332" t="n">
        <v>0</v>
      </c>
      <c r="L332" t="n">
        <v>0</v>
      </c>
      <c r="M332" t="n">
        <v>0</v>
      </c>
      <c r="N332" t="n">
        <v>0</v>
      </c>
      <c r="O332" t="n">
        <v>0</v>
      </c>
      <c r="P332" t="n">
        <v>0</v>
      </c>
      <c r="Q332" t="n">
        <v>0</v>
      </c>
      <c r="R332" t="n">
        <v>0</v>
      </c>
      <c r="S332" t="n">
        <v>0</v>
      </c>
      <c r="T332" t="n">
        <v>0</v>
      </c>
      <c r="U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2026-07-20T01:46:59Z</dcterms:created>
  <dcterms:modified xmlns:dcterms="http://purl.org/dc/terms/" xmlns:xsi="http://www.w3.org/2001/XMLSchema-instance" xsi:type="dcterms:W3CDTF">2026-07-20T01:46:59Z</dcterms:modified>
</cp:coreProperties>
</file>