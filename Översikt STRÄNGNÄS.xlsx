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46217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46217</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s="2" t="inlineStr">
        <is>
          <t>Grönfink
Stare
Tofsvipa
Tornseglare
Björktrast
Entita
Gulsparv
Ladusvala
Mindre hackspett
Rödvingetrast
Rörsångare
Skrattmås
Sädesärla
Fiskgjuse
Gröngöling
Grönsiska
Havsörn
Kråka
Kungsfågel
Näktergal
Svartvit flugsnappare</t>
        </is>
      </c>
      <c r="V3">
        <f>HYPERLINK("https://klasma.github.io/Logging_0486/artfynd/A 3784-2025 artfynd.xlsx", "A 3784-2025")</f>
        <v/>
      </c>
      <c r="W3">
        <f>HYPERLINK("https://klasma.github.io/Logging_0486/kartor/A 3784-2025 karta.png", "A 3784-2025")</f>
        <v/>
      </c>
      <c r="Y3">
        <f>HYPERLINK("https://klasma.github.io/Logging_0486/klagomål/A 3784-2025 FSC-klagomål.docx", "A 3784-2025")</f>
        <v/>
      </c>
      <c r="Z3">
        <f>HYPERLINK("https://klasma.github.io/Logging_0486/klagomålsmail/A 3784-2025 FSC-klagomål mail.docx", "A 3784-2025")</f>
        <v/>
      </c>
      <c r="AA3">
        <f>HYPERLINK("https://klasma.github.io/Logging_0486/tillsyn/A 3784-2025 tillsynsbegäran.docx", "A 3784-2025")</f>
        <v/>
      </c>
      <c r="AB3">
        <f>HYPERLINK("https://klasma.github.io/Logging_0486/tillsynsmail/A 3784-2025 tillsynsbegäran mail.docx", "A 3784-2025")</f>
        <v/>
      </c>
      <c r="AC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46217</v>
      </c>
      <c r="F4" t="inlineStr">
        <is>
          <t>SÖDERMANLANDS LÄN</t>
        </is>
      </c>
      <c r="G4" t="inlineStr">
        <is>
          <t>STRÄNGNÄS</t>
        </is>
      </c>
      <c r="I4" t="n">
        <v>1</v>
      </c>
      <c r="J4" t="n">
        <v>18</v>
      </c>
      <c r="K4" t="n">
        <v>0</v>
      </c>
      <c r="L4" t="n">
        <v>3</v>
      </c>
      <c r="M4" t="n">
        <v>3</v>
      </c>
      <c r="N4" t="n">
        <v>1</v>
      </c>
      <c r="O4" t="n">
        <v>0</v>
      </c>
      <c r="P4" t="n">
        <v>0</v>
      </c>
      <c r="Q4" t="n">
        <v>7</v>
      </c>
      <c r="R4" t="n">
        <v>4</v>
      </c>
      <c r="S4" t="n">
        <v>18</v>
      </c>
      <c r="T4" t="n">
        <v>18</v>
      </c>
      <c r="U4" s="2" t="inlineStr">
        <is>
          <t>Havstrut
Gråtrut
Grönfink
Tofsvipa
Entita
Gulsparv
Skrattmås
Spillkråka
Gröngöling
Grönsiska
Havsörn
Kråka
Salskrake
Skogsduva
Sävsparv
Sångsvan
Trana
Trädlärka</t>
        </is>
      </c>
      <c r="V4">
        <f>HYPERLINK("https://klasma.github.io/Logging_0486/artfynd/A 9237-2023 artfynd.xlsx", "A 9237-2023")</f>
        <v/>
      </c>
      <c r="W4">
        <f>HYPERLINK("https://klasma.github.io/Logging_0486/kartor/A 9237-2023 karta.png", "A 9237-2023")</f>
        <v/>
      </c>
      <c r="Y4">
        <f>HYPERLINK("https://klasma.github.io/Logging_0486/klagomål/A 9237-2023 FSC-klagomål.docx", "A 9237-2023")</f>
        <v/>
      </c>
      <c r="Z4">
        <f>HYPERLINK("https://klasma.github.io/Logging_0486/klagomålsmail/A 9237-2023 FSC-klagomål mail.docx", "A 9237-2023")</f>
        <v/>
      </c>
      <c r="AA4">
        <f>HYPERLINK("https://klasma.github.io/Logging_0486/tillsyn/A 9237-2023 tillsynsbegäran.docx", "A 9237-2023")</f>
        <v/>
      </c>
      <c r="AB4">
        <f>HYPERLINK("https://klasma.github.io/Logging_0486/tillsynsmail/A 9237-2023 tillsynsbegäran mail.docx", "A 9237-2023")</f>
        <v/>
      </c>
      <c r="AC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46217</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s="2" t="inlineStr">
        <is>
          <t>Backklöver
Grönsångare
Gulsparv
Rökfingersvamp
Silltrut
Skrattmås
Blodvaxing
Gråvaxing
Gulvaxing
Mindre märgborre
Småvaxing
Toppvaxing
Ängsfingersvamp
Ängsvaxing agg.
Gröngöling
Trana</t>
        </is>
      </c>
      <c r="V5">
        <f>HYPERLINK("https://klasma.github.io/Logging_0486/artfynd/A 41222-2025 artfynd.xlsx", "A 41222-2025")</f>
        <v/>
      </c>
      <c r="W5">
        <f>HYPERLINK("https://klasma.github.io/Logging_0486/kartor/A 41222-2025 karta.png", "A 41222-2025")</f>
        <v/>
      </c>
      <c r="Y5">
        <f>HYPERLINK("https://klasma.github.io/Logging_0486/klagomål/A 41222-2025 FSC-klagomål.docx", "A 41222-2025")</f>
        <v/>
      </c>
      <c r="Z5">
        <f>HYPERLINK("https://klasma.github.io/Logging_0486/klagomålsmail/A 41222-2025 FSC-klagomål mail.docx", "A 41222-2025")</f>
        <v/>
      </c>
      <c r="AA5">
        <f>HYPERLINK("https://klasma.github.io/Logging_0486/tillsyn/A 41222-2025 tillsynsbegäran.docx", "A 41222-2025")</f>
        <v/>
      </c>
      <c r="AB5">
        <f>HYPERLINK("https://klasma.github.io/Logging_0486/tillsynsmail/A 41222-2025 tillsynsbegäran mail.docx", "A 41222-2025")</f>
        <v/>
      </c>
      <c r="AC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46217</v>
      </c>
      <c r="F6" t="inlineStr">
        <is>
          <t>SÖDERMANLANDS LÄN</t>
        </is>
      </c>
      <c r="G6" t="inlineStr">
        <is>
          <t>STRÄNGNÄS</t>
        </is>
      </c>
      <c r="I6" t="n">
        <v>1.2</v>
      </c>
      <c r="J6" t="n">
        <v>6</v>
      </c>
      <c r="K6" t="n">
        <v>3</v>
      </c>
      <c r="L6" t="n">
        <v>2</v>
      </c>
      <c r="M6" t="n">
        <v>1</v>
      </c>
      <c r="N6" t="n">
        <v>0</v>
      </c>
      <c r="O6" t="n">
        <v>0</v>
      </c>
      <c r="P6" t="n">
        <v>0</v>
      </c>
      <c r="Q6" t="n">
        <v>3</v>
      </c>
      <c r="R6" t="n">
        <v>1</v>
      </c>
      <c r="S6" t="n">
        <v>13</v>
      </c>
      <c r="T6" t="n">
        <v>24</v>
      </c>
      <c r="U6" s="2" t="inlineStr">
        <is>
          <t>Knärot
Nordfladdermus
Tallticka
Blodticka
Gullgröppa
Mindre märgborre
Blåsippa
Gulplister
Mattlummer
Spillkråka
Sälg
Tjäder
Vitsippa</t>
        </is>
      </c>
      <c r="V6">
        <f>HYPERLINK("https://klasma.github.io/Logging_0486/artfynd/A 57157-2021 artfynd.xlsx", "A 57157-2021")</f>
        <v/>
      </c>
      <c r="W6">
        <f>HYPERLINK("https://klasma.github.io/Logging_0486/kartor/A 57157-2021 karta.png", "A 57157-2021")</f>
        <v/>
      </c>
      <c r="X6">
        <f>HYPERLINK("https://klasma.github.io/Logging_0486/knärot/A 57157-2021 karta knärot.png", "A 57157-2021")</f>
        <v/>
      </c>
      <c r="Y6">
        <f>HYPERLINK("https://klasma.github.io/Logging_0486/klagomål/A 57157-2021 FSC-klagomål.docx", "A 57157-2021")</f>
        <v/>
      </c>
      <c r="Z6">
        <f>HYPERLINK("https://klasma.github.io/Logging_0486/klagomålsmail/A 57157-2021 FSC-klagomål mail.docx", "A 57157-2021")</f>
        <v/>
      </c>
      <c r="AA6">
        <f>HYPERLINK("https://klasma.github.io/Logging_0486/tillsyn/A 57157-2021 tillsynsbegäran.docx", "A 57157-2021")</f>
        <v/>
      </c>
      <c r="AB6">
        <f>HYPERLINK("https://klasma.github.io/Logging_0486/tillsynsmail/A 57157-2021 tillsynsbegäran mail.docx", "A 57157-2021")</f>
        <v/>
      </c>
      <c r="AC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46217</v>
      </c>
      <c r="F7" t="inlineStr">
        <is>
          <t>SÖDERMANLANDS LÄN</t>
        </is>
      </c>
      <c r="G7" t="inlineStr">
        <is>
          <t>STRÄNGNÄS</t>
        </is>
      </c>
      <c r="I7" t="n">
        <v>6.2</v>
      </c>
      <c r="J7" t="n">
        <v>2</v>
      </c>
      <c r="K7" t="n">
        <v>5</v>
      </c>
      <c r="L7" t="n">
        <v>0</v>
      </c>
      <c r="M7" t="n">
        <v>0</v>
      </c>
      <c r="N7" t="n">
        <v>1</v>
      </c>
      <c r="O7" t="n">
        <v>0</v>
      </c>
      <c r="P7" t="n">
        <v>0</v>
      </c>
      <c r="Q7" t="n">
        <v>1</v>
      </c>
      <c r="R7" t="n">
        <v>1</v>
      </c>
      <c r="S7" t="n">
        <v>8</v>
      </c>
      <c r="T7" t="n">
        <v>11</v>
      </c>
      <c r="U7" s="2" t="inlineStr">
        <is>
          <t>Ask
Fällmossa
Strutbräken
Svart trolldruva
Tibast
Trädporella
Blåsippa
Spillkråka</t>
        </is>
      </c>
      <c r="V7">
        <f>HYPERLINK("https://klasma.github.io/Logging_0486/artfynd/A 42335-2025 artfynd.xlsx", "A 42335-2025")</f>
        <v/>
      </c>
      <c r="W7">
        <f>HYPERLINK("https://klasma.github.io/Logging_0486/kartor/A 42335-2025 karta.png", "A 42335-2025")</f>
        <v/>
      </c>
      <c r="Y7">
        <f>HYPERLINK("https://klasma.github.io/Logging_0486/klagomål/A 42335-2025 FSC-klagomål.docx", "A 42335-2025")</f>
        <v/>
      </c>
      <c r="Z7">
        <f>HYPERLINK("https://klasma.github.io/Logging_0486/klagomålsmail/A 42335-2025 FSC-klagomål mail.docx", "A 42335-2025")</f>
        <v/>
      </c>
      <c r="AA7">
        <f>HYPERLINK("https://klasma.github.io/Logging_0486/tillsyn/A 42335-2025 tillsynsbegäran.docx", "A 42335-2025")</f>
        <v/>
      </c>
      <c r="AB7">
        <f>HYPERLINK("https://klasma.github.io/Logging_0486/tillsynsmail/A 42335-2025 tillsynsbegäran mail.docx", "A 42335-2025")</f>
        <v/>
      </c>
      <c r="AC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46217</v>
      </c>
      <c r="F8" t="inlineStr">
        <is>
          <t>SÖDERMANLANDS LÄN</t>
        </is>
      </c>
      <c r="G8" t="inlineStr">
        <is>
          <t>STRÄNGNÄS</t>
        </is>
      </c>
      <c r="I8" t="n">
        <v>6</v>
      </c>
      <c r="J8" t="n">
        <v>4</v>
      </c>
      <c r="K8" t="n">
        <v>2</v>
      </c>
      <c r="L8" t="n">
        <v>2</v>
      </c>
      <c r="M8" t="n">
        <v>0</v>
      </c>
      <c r="N8" t="n">
        <v>1</v>
      </c>
      <c r="O8" t="n">
        <v>0</v>
      </c>
      <c r="P8" t="n">
        <v>0</v>
      </c>
      <c r="Q8" t="n">
        <v>3</v>
      </c>
      <c r="R8" t="n">
        <v>1</v>
      </c>
      <c r="S8" t="n">
        <v>7</v>
      </c>
      <c r="T8" t="n">
        <v>17</v>
      </c>
      <c r="U8" s="2" t="inlineStr">
        <is>
          <t>Skogsalm
Duvhök
Sumpviol
Korallrot
Källmossa
Grönsiska
Vanlig snok</t>
        </is>
      </c>
      <c r="V8">
        <f>HYPERLINK("https://klasma.github.io/Logging_0486/artfynd/A 13012-2022 artfynd.xlsx", "A 13012-2022")</f>
        <v/>
      </c>
      <c r="W8">
        <f>HYPERLINK("https://klasma.github.io/Logging_0486/kartor/A 13012-2022 karta.png", "A 13012-2022")</f>
        <v/>
      </c>
      <c r="Y8">
        <f>HYPERLINK("https://klasma.github.io/Logging_0486/klagomål/A 13012-2022 FSC-klagomål.docx", "A 13012-2022")</f>
        <v/>
      </c>
      <c r="Z8">
        <f>HYPERLINK("https://klasma.github.io/Logging_0486/klagomålsmail/A 13012-2022 FSC-klagomål mail.docx", "A 13012-2022")</f>
        <v/>
      </c>
      <c r="AA8">
        <f>HYPERLINK("https://klasma.github.io/Logging_0486/tillsyn/A 13012-2022 tillsynsbegäran.docx", "A 13012-2022")</f>
        <v/>
      </c>
      <c r="AB8">
        <f>HYPERLINK("https://klasma.github.io/Logging_0486/tillsynsmail/A 13012-2022 tillsynsbegäran mail.docx", "A 13012-2022")</f>
        <v/>
      </c>
      <c r="AC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46217</v>
      </c>
      <c r="F9" t="inlineStr">
        <is>
          <t>SÖDERMANLANDS LÄN</t>
        </is>
      </c>
      <c r="G9" t="inlineStr">
        <is>
          <t>STRÄNGNÄS</t>
        </is>
      </c>
      <c r="I9" t="n">
        <v>1</v>
      </c>
      <c r="J9" t="n">
        <v>4</v>
      </c>
      <c r="K9" t="n">
        <v>1</v>
      </c>
      <c r="L9" t="n">
        <v>3</v>
      </c>
      <c r="M9" t="n">
        <v>0</v>
      </c>
      <c r="N9" t="n">
        <v>0</v>
      </c>
      <c r="O9" t="n">
        <v>0</v>
      </c>
      <c r="P9" t="n">
        <v>0</v>
      </c>
      <c r="Q9" t="n">
        <v>3</v>
      </c>
      <c r="R9" t="n">
        <v>0</v>
      </c>
      <c r="S9" t="n">
        <v>7</v>
      </c>
      <c r="T9" t="n">
        <v>9</v>
      </c>
      <c r="U9" s="2" t="inlineStr">
        <is>
          <t>Motaggsvamp
Nordfladdermus
Tallticka
Blomkålssvamp
Mattlummer
Spillkråka
Fläcknycklar</t>
        </is>
      </c>
      <c r="V9">
        <f>HYPERLINK("https://klasma.github.io/Logging_0486/artfynd/A 6570-2023 artfynd.xlsx", "A 6570-2023")</f>
        <v/>
      </c>
      <c r="W9">
        <f>HYPERLINK("https://klasma.github.io/Logging_0486/kartor/A 6570-2023 karta.png", "A 6570-2023")</f>
        <v/>
      </c>
      <c r="X9">
        <f>HYPERLINK("https://klasma.github.io/Logging_0486/knärot/A 6570-2023 karta knärot.png", "A 6570-2023")</f>
        <v/>
      </c>
      <c r="Y9">
        <f>HYPERLINK("https://klasma.github.io/Logging_0486/klagomål/A 6570-2023 FSC-klagomål.docx", "A 6570-2023")</f>
        <v/>
      </c>
      <c r="Z9">
        <f>HYPERLINK("https://klasma.github.io/Logging_0486/klagomålsmail/A 6570-2023 FSC-klagomål mail.docx", "A 6570-2023")</f>
        <v/>
      </c>
      <c r="AA9">
        <f>HYPERLINK("https://klasma.github.io/Logging_0486/tillsyn/A 6570-2023 tillsynsbegäran.docx", "A 6570-2023")</f>
        <v/>
      </c>
      <c r="AB9">
        <f>HYPERLINK("https://klasma.github.io/Logging_0486/tillsynsmail/A 6570-2023 tillsynsbegäran mail.docx", "A 6570-2023")</f>
        <v/>
      </c>
      <c r="AC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46217</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s="2" t="inlineStr">
        <is>
          <t>Gammelekslav
Gul dropplav
Skuggorangelav
Brun nållav
Grå skärelav
Gulpudrad spiklav</t>
        </is>
      </c>
      <c r="V10">
        <f>HYPERLINK("https://klasma.github.io/Logging_0486/artfynd/A 43388-2022 artfynd.xlsx", "A 43388-2022")</f>
        <v/>
      </c>
      <c r="W10">
        <f>HYPERLINK("https://klasma.github.io/Logging_0486/kartor/A 43388-2022 karta.png", "A 43388-2022")</f>
        <v/>
      </c>
      <c r="Y10">
        <f>HYPERLINK("https://klasma.github.io/Logging_0486/klagomål/A 43388-2022 FSC-klagomål.docx", "A 43388-2022")</f>
        <v/>
      </c>
      <c r="Z10">
        <f>HYPERLINK("https://klasma.github.io/Logging_0486/klagomålsmail/A 43388-2022 FSC-klagomål mail.docx", "A 43388-2022")</f>
        <v/>
      </c>
      <c r="AA10">
        <f>HYPERLINK("https://klasma.github.io/Logging_0486/tillsyn/A 43388-2022 tillsynsbegäran.docx", "A 43388-2022")</f>
        <v/>
      </c>
      <c r="AB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46217</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s="2" t="inlineStr">
        <is>
          <t>Gråtrut
Göktyta
Talltita
Grönsiska
Kungsfågel
Svartvit flugsnappare</t>
        </is>
      </c>
      <c r="V11">
        <f>HYPERLINK("https://klasma.github.io/Logging_0486/artfynd/A 12671-2022 artfynd.xlsx", "A 12671-2022")</f>
        <v/>
      </c>
      <c r="W11">
        <f>HYPERLINK("https://klasma.github.io/Logging_0486/kartor/A 12671-2022 karta.png", "A 12671-2022")</f>
        <v/>
      </c>
      <c r="Y11">
        <f>HYPERLINK("https://klasma.github.io/Logging_0486/klagomål/A 12671-2022 FSC-klagomål.docx", "A 12671-2022")</f>
        <v/>
      </c>
      <c r="Z11">
        <f>HYPERLINK("https://klasma.github.io/Logging_0486/klagomålsmail/A 12671-2022 FSC-klagomål mail.docx", "A 12671-2022")</f>
        <v/>
      </c>
      <c r="AA11">
        <f>HYPERLINK("https://klasma.github.io/Logging_0486/tillsyn/A 12671-2022 tillsynsbegäran.docx", "A 12671-2022")</f>
        <v/>
      </c>
      <c r="AB11">
        <f>HYPERLINK("https://klasma.github.io/Logging_0486/tillsynsmail/A 12671-2022 tillsynsbegäran mail.docx", "A 12671-2022")</f>
        <v/>
      </c>
      <c r="AC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46217</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s="2" t="inlineStr">
        <is>
          <t>Ask
Sårläka
Hasselticka
Nästrot
Blåsippa
Gullviva</t>
        </is>
      </c>
      <c r="V12">
        <f>HYPERLINK("https://klasma.github.io/Logging_0486/artfynd/A 8998-2025 artfynd.xlsx", "A 8998-2025")</f>
        <v/>
      </c>
      <c r="W12">
        <f>HYPERLINK("https://klasma.github.io/Logging_0486/kartor/A 8998-2025 karta.png", "A 8998-2025")</f>
        <v/>
      </c>
      <c r="Y12">
        <f>HYPERLINK("https://klasma.github.io/Logging_0486/klagomål/A 8998-2025 FSC-klagomål.docx", "A 8998-2025")</f>
        <v/>
      </c>
      <c r="Z12">
        <f>HYPERLINK("https://klasma.github.io/Logging_0486/klagomålsmail/A 8998-2025 FSC-klagomål mail.docx", "A 8998-2025")</f>
        <v/>
      </c>
      <c r="AA12">
        <f>HYPERLINK("https://klasma.github.io/Logging_0486/tillsyn/A 8998-2025 tillsynsbegäran.docx", "A 8998-2025")</f>
        <v/>
      </c>
      <c r="AB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46217</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s="2" t="inlineStr">
        <is>
          <t>Knärot
Gullpudra
Dvärghäxört
Grönpyrola
Springkorn</t>
        </is>
      </c>
      <c r="V13">
        <f>HYPERLINK("https://klasma.github.io/Logging_0486/artfynd/A 59286-2025 artfynd.xlsx", "A 59286-2025")</f>
        <v/>
      </c>
      <c r="W13">
        <f>HYPERLINK("https://klasma.github.io/Logging_0486/kartor/A 59286-2025 karta.png", "A 59286-2025")</f>
        <v/>
      </c>
      <c r="X13">
        <f>HYPERLINK("https://klasma.github.io/Logging_0486/knärot/A 59286-2025 karta knärot.png", "A 59286-2025")</f>
        <v/>
      </c>
      <c r="Y13">
        <f>HYPERLINK("https://klasma.github.io/Logging_0486/klagomål/A 59286-2025 FSC-klagomål.docx", "A 59286-2025")</f>
        <v/>
      </c>
      <c r="Z13">
        <f>HYPERLINK("https://klasma.github.io/Logging_0486/klagomålsmail/A 59286-2025 FSC-klagomål mail.docx", "A 59286-2025")</f>
        <v/>
      </c>
      <c r="AA13">
        <f>HYPERLINK("https://klasma.github.io/Logging_0486/tillsyn/A 59286-2025 tillsynsbegäran.docx", "A 59286-2025")</f>
        <v/>
      </c>
      <c r="AB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46217</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s="2" t="inlineStr">
        <is>
          <t>Humleblomster
Kransmossa
Liljekonvalj
Gullviva</t>
        </is>
      </c>
      <c r="V14">
        <f>HYPERLINK("https://klasma.github.io/Logging_0486/artfynd/A 48926-2021 artfynd.xlsx", "A 48926-2021")</f>
        <v/>
      </c>
      <c r="W14">
        <f>HYPERLINK("https://klasma.github.io/Logging_0486/kartor/A 48926-2021 karta.png", "A 48926-2021")</f>
        <v/>
      </c>
      <c r="Y14">
        <f>HYPERLINK("https://klasma.github.io/Logging_0486/klagomål/A 48926-2021 FSC-klagomål.docx", "A 48926-2021")</f>
        <v/>
      </c>
      <c r="Z14">
        <f>HYPERLINK("https://klasma.github.io/Logging_0486/klagomålsmail/A 48926-2021 FSC-klagomål mail.docx", "A 48926-2021")</f>
        <v/>
      </c>
      <c r="AA14">
        <f>HYPERLINK("https://klasma.github.io/Logging_0486/tillsyn/A 48926-2021 tillsynsbegäran.docx", "A 48926-2021")</f>
        <v/>
      </c>
      <c r="AB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46217</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s="2" t="inlineStr">
        <is>
          <t>Plattlummer
Mattlummer
Revlummer</t>
        </is>
      </c>
      <c r="V15">
        <f>HYPERLINK("https://klasma.github.io/Logging_0486/artfynd/A 44495-2022 artfynd.xlsx", "A 44495-2022")</f>
        <v/>
      </c>
      <c r="W15">
        <f>HYPERLINK("https://klasma.github.io/Logging_0486/kartor/A 44495-2022 karta.png", "A 44495-2022")</f>
        <v/>
      </c>
      <c r="Y15">
        <f>HYPERLINK("https://klasma.github.io/Logging_0486/klagomål/A 44495-2022 FSC-klagomål.docx", "A 44495-2022")</f>
        <v/>
      </c>
      <c r="Z15">
        <f>HYPERLINK("https://klasma.github.io/Logging_0486/klagomålsmail/A 44495-2022 FSC-klagomål mail.docx", "A 44495-2022")</f>
        <v/>
      </c>
      <c r="AA15">
        <f>HYPERLINK("https://klasma.github.io/Logging_0486/tillsyn/A 44495-2022 tillsynsbegäran.docx", "A 44495-2022")</f>
        <v/>
      </c>
      <c r="AB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46217</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s="2" t="inlineStr">
        <is>
          <t>Kråka
Kungsfågel
Gullviva</t>
        </is>
      </c>
      <c r="V16">
        <f>HYPERLINK("https://klasma.github.io/Logging_0486/artfynd/A 2493-2022 artfynd.xlsx", "A 2493-2022")</f>
        <v/>
      </c>
      <c r="W16">
        <f>HYPERLINK("https://klasma.github.io/Logging_0486/kartor/A 2493-2022 karta.png", "A 2493-2022")</f>
        <v/>
      </c>
      <c r="Y16">
        <f>HYPERLINK("https://klasma.github.io/Logging_0486/klagomål/A 2493-2022 FSC-klagomål.docx", "A 2493-2022")</f>
        <v/>
      </c>
      <c r="Z16">
        <f>HYPERLINK("https://klasma.github.io/Logging_0486/klagomålsmail/A 2493-2022 FSC-klagomål mail.docx", "A 2493-2022")</f>
        <v/>
      </c>
      <c r="AA16">
        <f>HYPERLINK("https://klasma.github.io/Logging_0486/tillsyn/A 2493-2022 tillsynsbegäran.docx", "A 2493-2022")</f>
        <v/>
      </c>
      <c r="AB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46217</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s="2" t="inlineStr">
        <is>
          <t>Skogsalm
Nästrot
Svart trolldruva</t>
        </is>
      </c>
      <c r="V17">
        <f>HYPERLINK("https://klasma.github.io/Logging_0486/artfynd/A 21966-2022 artfynd.xlsx", "A 21966-2022")</f>
        <v/>
      </c>
      <c r="W17">
        <f>HYPERLINK("https://klasma.github.io/Logging_0486/kartor/A 21966-2022 karta.png", "A 21966-2022")</f>
        <v/>
      </c>
      <c r="Y17">
        <f>HYPERLINK("https://klasma.github.io/Logging_0486/klagomål/A 21966-2022 FSC-klagomål.docx", "A 21966-2022")</f>
        <v/>
      </c>
      <c r="Z17">
        <f>HYPERLINK("https://klasma.github.io/Logging_0486/klagomålsmail/A 21966-2022 FSC-klagomål mail.docx", "A 21966-2022")</f>
        <v/>
      </c>
      <c r="AA17">
        <f>HYPERLINK("https://klasma.github.io/Logging_0486/tillsyn/A 21966-2022 tillsynsbegäran.docx", "A 21966-2022")</f>
        <v/>
      </c>
      <c r="AB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46217</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s="2" t="inlineStr">
        <is>
          <t>Oxtungssvamp
Blåsippa
Spillkråka</t>
        </is>
      </c>
      <c r="V18">
        <f>HYPERLINK("https://klasma.github.io/Logging_0486/artfynd/A 68905-2021 artfynd.xlsx", "A 68905-2021")</f>
        <v/>
      </c>
      <c r="W18">
        <f>HYPERLINK("https://klasma.github.io/Logging_0486/kartor/A 68905-2021 karta.png", "A 68905-2021")</f>
        <v/>
      </c>
      <c r="Y18">
        <f>HYPERLINK("https://klasma.github.io/Logging_0486/klagomål/A 68905-2021 FSC-klagomål.docx", "A 68905-2021")</f>
        <v/>
      </c>
      <c r="Z18">
        <f>HYPERLINK("https://klasma.github.io/Logging_0486/klagomålsmail/A 68905-2021 FSC-klagomål mail.docx", "A 68905-2021")</f>
        <v/>
      </c>
      <c r="AA18">
        <f>HYPERLINK("https://klasma.github.io/Logging_0486/tillsyn/A 68905-2021 tillsynsbegäran.docx", "A 68905-2021")</f>
        <v/>
      </c>
      <c r="AB18">
        <f>HYPERLINK("https://klasma.github.io/Logging_0486/tillsynsmail/A 68905-2021 tillsynsbegäran mail.docx", "A 68905-2021")</f>
        <v/>
      </c>
      <c r="AC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46217</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s="2" t="inlineStr">
        <is>
          <t>Jungfrulin
Blomkålssvamp
Större vattensalamander</t>
        </is>
      </c>
      <c r="V19">
        <f>HYPERLINK("https://klasma.github.io/Logging_0486/artfynd/A 36799-2025 artfynd.xlsx", "A 36799-2025")</f>
        <v/>
      </c>
      <c r="W19">
        <f>HYPERLINK("https://klasma.github.io/Logging_0486/kartor/A 36799-2025 karta.png", "A 36799-2025")</f>
        <v/>
      </c>
      <c r="Y19">
        <f>HYPERLINK("https://klasma.github.io/Logging_0486/klagomål/A 36799-2025 FSC-klagomål.docx", "A 36799-2025")</f>
        <v/>
      </c>
      <c r="Z19">
        <f>HYPERLINK("https://klasma.github.io/Logging_0486/klagomålsmail/A 36799-2025 FSC-klagomål mail.docx", "A 36799-2025")</f>
        <v/>
      </c>
      <c r="AA19">
        <f>HYPERLINK("https://klasma.github.io/Logging_0486/tillsyn/A 36799-2025 tillsynsbegäran.docx", "A 36799-2025")</f>
        <v/>
      </c>
      <c r="AB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46217</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s="2" t="inlineStr">
        <is>
          <t>Ask
Kandelabersvamp
Guldlockmossa</t>
        </is>
      </c>
      <c r="V20">
        <f>HYPERLINK("https://klasma.github.io/Logging_0486/artfynd/A 49759-2025 artfynd.xlsx", "A 49759-2025")</f>
        <v/>
      </c>
      <c r="W20">
        <f>HYPERLINK("https://klasma.github.io/Logging_0486/kartor/A 49759-2025 karta.png", "A 49759-2025")</f>
        <v/>
      </c>
      <c r="Y20">
        <f>HYPERLINK("https://klasma.github.io/Logging_0486/klagomål/A 49759-2025 FSC-klagomål.docx", "A 49759-2025")</f>
        <v/>
      </c>
      <c r="Z20">
        <f>HYPERLINK("https://klasma.github.io/Logging_0486/klagomålsmail/A 49759-2025 FSC-klagomål mail.docx", "A 49759-2025")</f>
        <v/>
      </c>
      <c r="AA20">
        <f>HYPERLINK("https://klasma.github.io/Logging_0486/tillsyn/A 49759-2025 tillsynsbegäran.docx", "A 49759-2025")</f>
        <v/>
      </c>
      <c r="AB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46217</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s="2" t="inlineStr">
        <is>
          <t>Knärot
Grönpyrola
Kungsfågel</t>
        </is>
      </c>
      <c r="V21">
        <f>HYPERLINK("https://klasma.github.io/Logging_0486/artfynd/A 52999-2025 artfynd.xlsx", "A 52999-2025")</f>
        <v/>
      </c>
      <c r="W21">
        <f>HYPERLINK("https://klasma.github.io/Logging_0486/kartor/A 52999-2025 karta.png", "A 52999-2025")</f>
        <v/>
      </c>
      <c r="X21">
        <f>HYPERLINK("https://klasma.github.io/Logging_0486/knärot/A 52999-2025 karta knärot.png", "A 52999-2025")</f>
        <v/>
      </c>
      <c r="Y21">
        <f>HYPERLINK("https://klasma.github.io/Logging_0486/klagomål/A 52999-2025 FSC-klagomål.docx", "A 52999-2025")</f>
        <v/>
      </c>
      <c r="Z21">
        <f>HYPERLINK("https://klasma.github.io/Logging_0486/klagomålsmail/A 52999-2025 FSC-klagomål mail.docx", "A 52999-2025")</f>
        <v/>
      </c>
      <c r="AA21">
        <f>HYPERLINK("https://klasma.github.io/Logging_0486/tillsyn/A 52999-2025 tillsynsbegäran.docx", "A 52999-2025")</f>
        <v/>
      </c>
      <c r="AB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46217</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s="2" t="inlineStr">
        <is>
          <t>Blekticka
Svartöra
Ormbär</t>
        </is>
      </c>
      <c r="V22">
        <f>HYPERLINK("https://klasma.github.io/Logging_0486/artfynd/A 24688-2026 artfynd.xlsx", "A 24688-2026")</f>
        <v/>
      </c>
      <c r="W22">
        <f>HYPERLINK("https://klasma.github.io/Logging_0486/kartor/A 24688-2026 karta.png", "A 24688-2026")</f>
        <v/>
      </c>
      <c r="Y22">
        <f>HYPERLINK("https://klasma.github.io/Logging_0486/klagomål/A 24688-2026 FSC-klagomål.docx", "A 24688-2026")</f>
        <v/>
      </c>
      <c r="Z22">
        <f>HYPERLINK("https://klasma.github.io/Logging_0486/klagomålsmail/A 24688-2026 FSC-klagomål mail.docx", "A 24688-2026")</f>
        <v/>
      </c>
      <c r="AA22">
        <f>HYPERLINK("https://klasma.github.io/Logging_0486/tillsyn/A 24688-2026 tillsynsbegäran.docx", "A 24688-2026")</f>
        <v/>
      </c>
      <c r="AB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46217</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s="2" t="inlineStr">
        <is>
          <t>Trubbig brosklav
Rödbrun blekspik
Sotlav</t>
        </is>
      </c>
      <c r="V23">
        <f>HYPERLINK("https://klasma.github.io/Logging_0486/artfynd/S 5673-2022 artfynd.xlsx", "S 5673-2022")</f>
        <v/>
      </c>
      <c r="W23">
        <f>HYPERLINK("https://klasma.github.io/Logging_0486/kartor/S 5673-2022 karta.png", "S 5673-2022")</f>
        <v/>
      </c>
      <c r="Y23">
        <f>HYPERLINK("https://klasma.github.io/Logging_0486/klagomål/S 5673-2022 FSC-klagomål.docx", "S 5673-2022")</f>
        <v/>
      </c>
      <c r="Z23">
        <f>HYPERLINK("https://klasma.github.io/Logging_0486/klagomålsmail/S 5673-2022 FSC-klagomål mail.docx", "S 5673-2022")</f>
        <v/>
      </c>
      <c r="AA23">
        <f>HYPERLINK("https://klasma.github.io/Logging_0486/tillsyn/S 5673-2022 tillsynsbegäran.docx", "S 5673-2022")</f>
        <v/>
      </c>
      <c r="AB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46217</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s="2" t="inlineStr">
        <is>
          <t>Stare
Grönsångare</t>
        </is>
      </c>
      <c r="V24">
        <f>HYPERLINK("https://klasma.github.io/Logging_0486/artfynd/A 44717-2022 artfynd.xlsx", "A 44717-2022")</f>
        <v/>
      </c>
      <c r="W24">
        <f>HYPERLINK("https://klasma.github.io/Logging_0486/kartor/A 44717-2022 karta.png", "A 44717-2022")</f>
        <v/>
      </c>
      <c r="Y24">
        <f>HYPERLINK("https://klasma.github.io/Logging_0486/klagomål/A 44717-2022 FSC-klagomål.docx", "A 44717-2022")</f>
        <v/>
      </c>
      <c r="Z24">
        <f>HYPERLINK("https://klasma.github.io/Logging_0486/klagomålsmail/A 44717-2022 FSC-klagomål mail.docx", "A 44717-2022")</f>
        <v/>
      </c>
      <c r="AA24">
        <f>HYPERLINK("https://klasma.github.io/Logging_0486/tillsyn/A 44717-2022 tillsynsbegäran.docx", "A 44717-2022")</f>
        <v/>
      </c>
      <c r="AB24">
        <f>HYPERLINK("https://klasma.github.io/Logging_0486/tillsynsmail/A 44717-2022 tillsynsbegäran mail.docx", "A 44717-2022")</f>
        <v/>
      </c>
      <c r="AC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46217</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s="2" t="inlineStr">
        <is>
          <t>Älg
Tjäder</t>
        </is>
      </c>
      <c r="V25">
        <f>HYPERLINK("https://klasma.github.io/Logging_0486/artfynd/A 1819-2022 artfynd.xlsx", "A 1819-2022")</f>
        <v/>
      </c>
      <c r="W25">
        <f>HYPERLINK("https://klasma.github.io/Logging_0486/kartor/A 1819-2022 karta.png", "A 1819-2022")</f>
        <v/>
      </c>
      <c r="Y25">
        <f>HYPERLINK("https://klasma.github.io/Logging_0486/klagomål/A 1819-2022 FSC-klagomål.docx", "A 1819-2022")</f>
        <v/>
      </c>
      <c r="Z25">
        <f>HYPERLINK("https://klasma.github.io/Logging_0486/klagomålsmail/A 1819-2022 FSC-klagomål mail.docx", "A 1819-2022")</f>
        <v/>
      </c>
      <c r="AA25">
        <f>HYPERLINK("https://klasma.github.io/Logging_0486/tillsyn/A 1819-2022 tillsynsbegäran.docx", "A 1819-2022")</f>
        <v/>
      </c>
      <c r="AB25">
        <f>HYPERLINK("https://klasma.github.io/Logging_0486/tillsynsmail/A 1819-2022 tillsynsbegäran mail.docx", "A 1819-2022")</f>
        <v/>
      </c>
      <c r="AC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46217</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s="2" t="inlineStr">
        <is>
          <t>Blåmossa
Spillkråka</t>
        </is>
      </c>
      <c r="V26">
        <f>HYPERLINK("https://klasma.github.io/Logging_0486/artfynd/A 60143-2024 artfynd.xlsx", "A 60143-2024")</f>
        <v/>
      </c>
      <c r="W26">
        <f>HYPERLINK("https://klasma.github.io/Logging_0486/kartor/A 60143-2024 karta.png", "A 60143-2024")</f>
        <v/>
      </c>
      <c r="Y26">
        <f>HYPERLINK("https://klasma.github.io/Logging_0486/klagomål/A 60143-2024 FSC-klagomål.docx", "A 60143-2024")</f>
        <v/>
      </c>
      <c r="Z26">
        <f>HYPERLINK("https://klasma.github.io/Logging_0486/klagomålsmail/A 60143-2024 FSC-klagomål mail.docx", "A 60143-2024")</f>
        <v/>
      </c>
      <c r="AA26">
        <f>HYPERLINK("https://klasma.github.io/Logging_0486/tillsyn/A 60143-2024 tillsynsbegäran.docx", "A 60143-2024")</f>
        <v/>
      </c>
      <c r="AB26">
        <f>HYPERLINK("https://klasma.github.io/Logging_0486/tillsynsmail/A 60143-2024 tillsynsbegäran mail.docx", "A 60143-2024")</f>
        <v/>
      </c>
      <c r="AC26">
        <f>HYPERLINK("https://klasma.github.io/Logging_0486/fåglar/A 60143-2024 prioriterade fågelarter.docx", "A 60143-2024")</f>
        <v/>
      </c>
    </row>
    <row r="27" ht="15" customHeight="1">
      <c r="A27" t="inlineStr">
        <is>
          <t>A 45669-2022</t>
        </is>
      </c>
      <c r="B27" t="inlineStr">
        <is>
          <t>avverkningsanmälan</t>
        </is>
      </c>
      <c r="C27" t="inlineStr">
        <is>
          <t>Föryngringsavverkning</t>
        </is>
      </c>
      <c r="D27" s="1" t="n">
        <v>44845</v>
      </c>
      <c r="E27" s="1" t="n">
        <v>46217</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s="2" t="inlineStr">
        <is>
          <t>Skogsduva
Törnskata</t>
        </is>
      </c>
      <c r="V27">
        <f>HYPERLINK("https://klasma.github.io/Logging_0486/artfynd/A 45669-2022 artfynd.xlsx", "A 45669-2022")</f>
        <v/>
      </c>
      <c r="W27">
        <f>HYPERLINK("https://klasma.github.io/Logging_0486/kartor/A 45669-2022 karta.png", "A 45669-2022")</f>
        <v/>
      </c>
      <c r="Y27">
        <f>HYPERLINK("https://klasma.github.io/Logging_0486/klagomål/A 45669-2022 FSC-klagomål.docx", "A 45669-2022")</f>
        <v/>
      </c>
      <c r="Z27">
        <f>HYPERLINK("https://klasma.github.io/Logging_0486/klagomålsmail/A 45669-2022 FSC-klagomål mail.docx", "A 45669-2022")</f>
        <v/>
      </c>
      <c r="AA27">
        <f>HYPERLINK("https://klasma.github.io/Logging_0486/tillsyn/A 45669-2022 tillsynsbegäran.docx", "A 45669-2022")</f>
        <v/>
      </c>
      <c r="AB27">
        <f>HYPERLINK("https://klasma.github.io/Logging_0486/tillsynsmail/A 45669-2022 tillsynsbegäran mail.docx", "A 45669-2022")</f>
        <v/>
      </c>
      <c r="AC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46217</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s="2" t="inlineStr">
        <is>
          <t>Rördrom
Trana</t>
        </is>
      </c>
      <c r="V28">
        <f>HYPERLINK("https://klasma.github.io/Logging_0486/artfynd/A 22577-2026 artfynd.xlsx", "A 22577-2026")</f>
        <v/>
      </c>
      <c r="W28">
        <f>HYPERLINK("https://klasma.github.io/Logging_0486/kartor/A 22577-2026 karta.png", "A 22577-2026")</f>
        <v/>
      </c>
      <c r="Y28">
        <f>HYPERLINK("https://klasma.github.io/Logging_0486/klagomål/A 22577-2026 FSC-klagomål.docx", "A 22577-2026")</f>
        <v/>
      </c>
      <c r="Z28">
        <f>HYPERLINK("https://klasma.github.io/Logging_0486/klagomålsmail/A 22577-2026 FSC-klagomål mail.docx", "A 22577-2026")</f>
        <v/>
      </c>
      <c r="AA28">
        <f>HYPERLINK("https://klasma.github.io/Logging_0486/tillsyn/A 22577-2026 tillsynsbegäran.docx", "A 22577-2026")</f>
        <v/>
      </c>
      <c r="AB28">
        <f>HYPERLINK("https://klasma.github.io/Logging_0486/tillsynsmail/A 22577-2026 tillsynsbegäran mail.docx", "A 22577-2026")</f>
        <v/>
      </c>
      <c r="AC28">
        <f>HYPERLINK("https://klasma.github.io/Logging_0486/fåglar/A 22577-2026 prioriterade fågelarter.docx", "A 22577-2026")</f>
        <v/>
      </c>
    </row>
    <row r="29" ht="15" customHeight="1">
      <c r="A29" t="inlineStr">
        <is>
          <t>A 40560-2025</t>
        </is>
      </c>
      <c r="B29" t="inlineStr">
        <is>
          <t>avverkningsanmälan</t>
        </is>
      </c>
      <c r="C29" t="inlineStr">
        <is>
          <t>Avverkning för annat ändamål</t>
        </is>
      </c>
      <c r="D29" s="1" t="n">
        <v>45896</v>
      </c>
      <c r="E29" s="1" t="n">
        <v>46217</v>
      </c>
      <c r="F29" t="inlineStr">
        <is>
          <t>SÖDERMANLANDS LÄN</t>
        </is>
      </c>
      <c r="G29" t="inlineStr">
        <is>
          <t>STRÄNGNÄS</t>
        </is>
      </c>
      <c r="I29" t="n">
        <v>12.6</v>
      </c>
      <c r="J29" t="n">
        <v>1</v>
      </c>
      <c r="K29" t="n">
        <v>0</v>
      </c>
      <c r="L29" t="n">
        <v>0</v>
      </c>
      <c r="M29" t="n">
        <v>0</v>
      </c>
      <c r="N29" t="n">
        <v>1</v>
      </c>
      <c r="O29" t="n">
        <v>0</v>
      </c>
      <c r="P29" t="n">
        <v>0</v>
      </c>
      <c r="Q29" t="n">
        <v>1</v>
      </c>
      <c r="R29" t="n">
        <v>1</v>
      </c>
      <c r="S29" t="n">
        <v>2</v>
      </c>
      <c r="T29" t="n">
        <v>2</v>
      </c>
      <c r="U29" s="2" t="inlineStr">
        <is>
          <t>Ask
Åkergroda</t>
        </is>
      </c>
      <c r="V29">
        <f>HYPERLINK("https://klasma.github.io/Logging_0486/artfynd/A 40560-2025 artfynd.xlsx", "A 40560-2025")</f>
        <v/>
      </c>
      <c r="W29">
        <f>HYPERLINK("https://klasma.github.io/Logging_0486/kartor/A 40560-2025 karta.png", "A 40560-2025")</f>
        <v/>
      </c>
      <c r="Y29">
        <f>HYPERLINK("https://klasma.github.io/Logging_0486/klagomål/A 40560-2025 FSC-klagomål.docx", "A 40560-2025")</f>
        <v/>
      </c>
      <c r="Z29">
        <f>HYPERLINK("https://klasma.github.io/Logging_0486/klagomålsmail/A 40560-2025 FSC-klagomål mail.docx", "A 40560-2025")</f>
        <v/>
      </c>
      <c r="AA29">
        <f>HYPERLINK("https://klasma.github.io/Logging_0486/tillsyn/A 40560-2025 tillsynsbegäran.docx", "A 40560-2025")</f>
        <v/>
      </c>
      <c r="AB29">
        <f>HYPERLINK("https://klasma.github.io/Logging_0486/tillsynsmail/A 40560-2025 tillsynsbegäran mail.docx", "A 40560-2025")</f>
        <v/>
      </c>
    </row>
    <row r="30" ht="15" customHeight="1">
      <c r="A30" t="inlineStr">
        <is>
          <t>A 10841-2026</t>
        </is>
      </c>
      <c r="B30" t="inlineStr">
        <is>
          <t>avverkningsanmälan</t>
        </is>
      </c>
      <c r="C30" t="inlineStr">
        <is>
          <t>Föryngringsavverkning</t>
        </is>
      </c>
      <c r="D30" s="1" t="n">
        <v>46078</v>
      </c>
      <c r="E30" s="1" t="n">
        <v>46217</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s="2" t="inlineStr">
        <is>
          <t>Grönvit nattviol
Nattviol</t>
        </is>
      </c>
      <c r="V30">
        <f>HYPERLINK("https://klasma.github.io/Logging_0486/artfynd/A 10841-2026 artfynd.xlsx", "A 10841-2026")</f>
        <v/>
      </c>
      <c r="W30">
        <f>HYPERLINK("https://klasma.github.io/Logging_0486/kartor/A 10841-2026 karta.png", "A 10841-2026")</f>
        <v/>
      </c>
      <c r="Y30">
        <f>HYPERLINK("https://klasma.github.io/Logging_0486/klagomål/A 10841-2026 FSC-klagomål.docx", "A 10841-2026")</f>
        <v/>
      </c>
      <c r="Z30">
        <f>HYPERLINK("https://klasma.github.io/Logging_0486/klagomålsmail/A 10841-2026 FSC-klagomål mail.docx", "A 10841-2026")</f>
        <v/>
      </c>
      <c r="AA30">
        <f>HYPERLINK("https://klasma.github.io/Logging_0486/tillsyn/A 10841-2026 tillsynsbegäran.docx", "A 10841-2026")</f>
        <v/>
      </c>
      <c r="AB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46217</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s="2" t="inlineStr">
        <is>
          <t>Gräshoppsångare
Enkelbeckasin</t>
        </is>
      </c>
      <c r="V31">
        <f>HYPERLINK("https://klasma.github.io/Logging_0486/artfynd/A 24683-2026 artfynd.xlsx", "A 24683-2026")</f>
        <v/>
      </c>
      <c r="W31">
        <f>HYPERLINK("https://klasma.github.io/Logging_0486/kartor/A 24683-2026 karta.png", "A 24683-2026")</f>
        <v/>
      </c>
      <c r="Y31">
        <f>HYPERLINK("https://klasma.github.io/Logging_0486/klagomål/A 24683-2026 FSC-klagomål.docx", "A 24683-2026")</f>
        <v/>
      </c>
      <c r="Z31">
        <f>HYPERLINK("https://klasma.github.io/Logging_0486/klagomålsmail/A 24683-2026 FSC-klagomål mail.docx", "A 24683-2026")</f>
        <v/>
      </c>
      <c r="AA31">
        <f>HYPERLINK("https://klasma.github.io/Logging_0486/tillsyn/A 24683-2026 tillsynsbegäran.docx", "A 24683-2026")</f>
        <v/>
      </c>
      <c r="AB31">
        <f>HYPERLINK("https://klasma.github.io/Logging_0486/tillsynsmail/A 24683-2026 tillsynsbegäran mail.docx", "A 24683-2026")</f>
        <v/>
      </c>
      <c r="AC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46217</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s="2" t="inlineStr">
        <is>
          <t>Gröngöling
Mistel</t>
        </is>
      </c>
      <c r="V32">
        <f>HYPERLINK("https://klasma.github.io/Logging_0486/artfynd/S 165-2024 artfynd.xlsx", "S 165-2024")</f>
        <v/>
      </c>
      <c r="W32">
        <f>HYPERLINK("https://klasma.github.io/Logging_0486/kartor/S 165-2024 karta.png", "S 165-2024")</f>
        <v/>
      </c>
      <c r="Y32">
        <f>HYPERLINK("https://klasma.github.io/Logging_0486/klagomål/S 165-2024 FSC-klagomål.docx", "S 165-2024")</f>
        <v/>
      </c>
      <c r="Z32">
        <f>HYPERLINK("https://klasma.github.io/Logging_0486/klagomålsmail/S 165-2024 FSC-klagomål mail.docx", "S 165-2024")</f>
        <v/>
      </c>
      <c r="AA32">
        <f>HYPERLINK("https://klasma.github.io/Logging_0486/tillsyn/S 165-2024 tillsynsbegäran.docx", "S 165-2024")</f>
        <v/>
      </c>
      <c r="AB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46217</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s="2" t="inlineStr">
        <is>
          <t>Jungfrulin
Gullviva</t>
        </is>
      </c>
      <c r="V33">
        <f>HYPERLINK("https://klasma.github.io/Logging_0486/artfynd/S 40-2026 artfynd.xlsx", "S 40-2026")</f>
        <v/>
      </c>
      <c r="W33">
        <f>HYPERLINK("https://klasma.github.io/Logging_0486/kartor/S 40-2026 karta.png", "S 40-2026")</f>
        <v/>
      </c>
      <c r="Y33">
        <f>HYPERLINK("https://klasma.github.io/Logging_0486/klagomål/S 40-2026 FSC-klagomål.docx", "S 40-2026")</f>
        <v/>
      </c>
      <c r="Z33">
        <f>HYPERLINK("https://klasma.github.io/Logging_0486/klagomålsmail/S 40-2026 FSC-klagomål mail.docx", "S 40-2026")</f>
        <v/>
      </c>
      <c r="AA33">
        <f>HYPERLINK("https://klasma.github.io/Logging_0486/tillsyn/S 40-2026 tillsynsbegäran.docx", "S 40-2026")</f>
        <v/>
      </c>
      <c r="AB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46217</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s="2" t="inlineStr">
        <is>
          <t>Mindre hackspett
Grönsiska</t>
        </is>
      </c>
      <c r="V34">
        <f>HYPERLINK("https://klasma.github.io/Logging_0486/artfynd/S 1445-2026 artfynd.xlsx", "S 1445-2026")</f>
        <v/>
      </c>
      <c r="W34">
        <f>HYPERLINK("https://klasma.github.io/Logging_0486/kartor/S 1445-2026 karta.png", "S 1445-2026")</f>
        <v/>
      </c>
      <c r="Y34">
        <f>HYPERLINK("https://klasma.github.io/Logging_0486/klagomål/S 1445-2026 FSC-klagomål.docx", "S 1445-2026")</f>
        <v/>
      </c>
      <c r="Z34">
        <f>HYPERLINK("https://klasma.github.io/Logging_0486/klagomålsmail/S 1445-2026 FSC-klagomål mail.docx", "S 1445-2026")</f>
        <v/>
      </c>
      <c r="AA34">
        <f>HYPERLINK("https://klasma.github.io/Logging_0486/tillsyn/S 1445-2026 tillsynsbegäran.docx", "S 1445-2026")</f>
        <v/>
      </c>
      <c r="AB34">
        <f>HYPERLINK("https://klasma.github.io/Logging_0486/tillsynsmail/S 1445-2026 tillsynsbegäran mail.docx", "S 1445-2026")</f>
        <v/>
      </c>
      <c r="AC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46217</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s="2" t="inlineStr">
        <is>
          <t>Duvhök</t>
        </is>
      </c>
      <c r="V35">
        <f>HYPERLINK("https://klasma.github.io/Logging_0486/artfynd/A 65330-2021 artfynd.xlsx", "A 65330-2021")</f>
        <v/>
      </c>
      <c r="W35">
        <f>HYPERLINK("https://klasma.github.io/Logging_0486/kartor/A 65330-2021 karta.png", "A 65330-2021")</f>
        <v/>
      </c>
      <c r="Y35">
        <f>HYPERLINK("https://klasma.github.io/Logging_0486/klagomål/A 65330-2021 FSC-klagomål.docx", "A 65330-2021")</f>
        <v/>
      </c>
      <c r="Z35">
        <f>HYPERLINK("https://klasma.github.io/Logging_0486/klagomålsmail/A 65330-2021 FSC-klagomål mail.docx", "A 65330-2021")</f>
        <v/>
      </c>
      <c r="AA35">
        <f>HYPERLINK("https://klasma.github.io/Logging_0486/tillsyn/A 65330-2021 tillsynsbegäran.docx", "A 65330-2021")</f>
        <v/>
      </c>
      <c r="AB35">
        <f>HYPERLINK("https://klasma.github.io/Logging_0486/tillsynsmail/A 65330-2021 tillsynsbegäran mail.docx", "A 65330-2021")</f>
        <v/>
      </c>
      <c r="AC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46217</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s="2" t="inlineStr">
        <is>
          <t>Nästrot</t>
        </is>
      </c>
      <c r="V36">
        <f>HYPERLINK("https://klasma.github.io/Logging_0486/artfynd/A 21317-2022 artfynd.xlsx", "A 21317-2022")</f>
        <v/>
      </c>
      <c r="W36">
        <f>HYPERLINK("https://klasma.github.io/Logging_0486/kartor/A 21317-2022 karta.png", "A 21317-2022")</f>
        <v/>
      </c>
      <c r="Y36">
        <f>HYPERLINK("https://klasma.github.io/Logging_0486/klagomål/A 21317-2022 FSC-klagomål.docx", "A 21317-2022")</f>
        <v/>
      </c>
      <c r="Z36">
        <f>HYPERLINK("https://klasma.github.io/Logging_0486/klagomålsmail/A 21317-2022 FSC-klagomål mail.docx", "A 21317-2022")</f>
        <v/>
      </c>
      <c r="AA36">
        <f>HYPERLINK("https://klasma.github.io/Logging_0486/tillsyn/A 21317-2022 tillsynsbegäran.docx", "A 21317-2022")</f>
        <v/>
      </c>
      <c r="AB36">
        <f>HYPERLINK("https://klasma.github.io/Logging_0486/tillsynsmail/A 21317-2022 tillsynsbegäran mail.docx", "A 21317-2022")</f>
        <v/>
      </c>
    </row>
    <row r="37" ht="15" customHeight="1">
      <c r="A37" t="inlineStr">
        <is>
          <t>A 41511-2022</t>
        </is>
      </c>
      <c r="B37" t="inlineStr">
        <is>
          <t>avverkningsanmälan</t>
        </is>
      </c>
      <c r="C37" t="inlineStr">
        <is>
          <t>Föryngringsavverkning</t>
        </is>
      </c>
      <c r="D37" s="1" t="n">
        <v>44827</v>
      </c>
      <c r="E37" s="1" t="n">
        <v>46217</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s="2" t="inlineStr">
        <is>
          <t>Tallticka</t>
        </is>
      </c>
      <c r="V37">
        <f>HYPERLINK("https://klasma.github.io/Logging_0486/artfynd/A 41511-2022 artfynd.xlsx", "A 41511-2022")</f>
        <v/>
      </c>
      <c r="W37">
        <f>HYPERLINK("https://klasma.github.io/Logging_0486/kartor/A 41511-2022 karta.png", "A 41511-2022")</f>
        <v/>
      </c>
      <c r="Y37">
        <f>HYPERLINK("https://klasma.github.io/Logging_0486/klagomål/A 41511-2022 FSC-klagomål.docx", "A 41511-2022")</f>
        <v/>
      </c>
      <c r="Z37">
        <f>HYPERLINK("https://klasma.github.io/Logging_0486/klagomålsmail/A 41511-2022 FSC-klagomål mail.docx", "A 41511-2022")</f>
        <v/>
      </c>
      <c r="AA37">
        <f>HYPERLINK("https://klasma.github.io/Logging_0486/tillsyn/A 41511-2022 tillsynsbegäran.docx", "A 41511-2022")</f>
        <v/>
      </c>
      <c r="AB37">
        <f>HYPERLINK("https://klasma.github.io/Logging_0486/tillsynsmail/A 41511-2022 tillsynsbegäran mail.docx", "A 41511-2022")</f>
        <v/>
      </c>
    </row>
    <row r="38" ht="15" customHeight="1">
      <c r="A38" t="inlineStr">
        <is>
          <t>A 52320-2023</t>
        </is>
      </c>
      <c r="B38" t="inlineStr">
        <is>
          <t>avverkningsanmälan</t>
        </is>
      </c>
      <c r="C38" t="inlineStr">
        <is>
          <t>Föryngringsavverkning</t>
        </is>
      </c>
      <c r="D38" s="1" t="n">
        <v>45224</v>
      </c>
      <c r="E38" s="1" t="n">
        <v>46217</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s="2" t="inlineStr">
        <is>
          <t>Mindre märgborre</t>
        </is>
      </c>
      <c r="V38">
        <f>HYPERLINK("https://klasma.github.io/Logging_0486/artfynd/A 52320-2023 artfynd.xlsx", "A 52320-2023")</f>
        <v/>
      </c>
      <c r="W38">
        <f>HYPERLINK("https://klasma.github.io/Logging_0486/kartor/A 52320-2023 karta.png", "A 52320-2023")</f>
        <v/>
      </c>
      <c r="Y38">
        <f>HYPERLINK("https://klasma.github.io/Logging_0486/klagomål/A 52320-2023 FSC-klagomål.docx", "A 52320-2023")</f>
        <v/>
      </c>
      <c r="Z38">
        <f>HYPERLINK("https://klasma.github.io/Logging_0486/klagomålsmail/A 52320-2023 FSC-klagomål mail.docx", "A 52320-2023")</f>
        <v/>
      </c>
      <c r="AA38">
        <f>HYPERLINK("https://klasma.github.io/Logging_0486/tillsyn/A 52320-2023 tillsynsbegäran.docx", "A 52320-2023")</f>
        <v/>
      </c>
      <c r="AB38">
        <f>HYPERLINK("https://klasma.github.io/Logging_0486/tillsynsmail/A 52320-2023 tillsynsbegäran mail.docx", "A 52320-2023")</f>
        <v/>
      </c>
    </row>
    <row r="39" ht="15" customHeight="1">
      <c r="A39" t="inlineStr">
        <is>
          <t>A 50010-2023</t>
        </is>
      </c>
      <c r="B39" t="inlineStr">
        <is>
          <t>avverkningsanmälan</t>
        </is>
      </c>
      <c r="C39" t="inlineStr">
        <is>
          <t>Avverkning för att bevara och utveckla /försöksver</t>
        </is>
      </c>
      <c r="D39" s="1" t="n">
        <v>45215</v>
      </c>
      <c r="E39" s="1" t="n">
        <v>46217</v>
      </c>
      <c r="F39" t="inlineStr">
        <is>
          <t>SÖDERMANLANDS LÄN</t>
        </is>
      </c>
      <c r="G39" t="inlineStr">
        <is>
          <t>STRÄNGNÄS</t>
        </is>
      </c>
      <c r="H39" t="inlineStr">
        <is>
          <t>Sveaskog</t>
        </is>
      </c>
      <c r="I39" t="n">
        <v>5.6</v>
      </c>
      <c r="J39" t="n">
        <v>1</v>
      </c>
      <c r="K39" t="n">
        <v>0</v>
      </c>
      <c r="L39" t="n">
        <v>0</v>
      </c>
      <c r="M39" t="n">
        <v>0</v>
      </c>
      <c r="N39" t="n">
        <v>0</v>
      </c>
      <c r="O39" t="n">
        <v>0</v>
      </c>
      <c r="P39" t="n">
        <v>0</v>
      </c>
      <c r="Q39" t="n">
        <v>0</v>
      </c>
      <c r="R39" t="n">
        <v>0</v>
      </c>
      <c r="S39" t="n">
        <v>1</v>
      </c>
      <c r="T39" t="n">
        <v>1</v>
      </c>
      <c r="U39" s="2" t="inlineStr">
        <is>
          <t>Blåsippa</t>
        </is>
      </c>
      <c r="V39">
        <f>HYPERLINK("https://klasma.github.io/Logging_0486/artfynd/A 50010-2023 artfynd.xlsx", "A 50010-2023")</f>
        <v/>
      </c>
      <c r="W39">
        <f>HYPERLINK("https://klasma.github.io/Logging_0486/kartor/A 50010-2023 karta.png", "A 50010-2023")</f>
        <v/>
      </c>
      <c r="Y39">
        <f>HYPERLINK("https://klasma.github.io/Logging_0486/klagomål/A 50010-2023 FSC-klagomål.docx", "A 50010-2023")</f>
        <v/>
      </c>
      <c r="Z39">
        <f>HYPERLINK("https://klasma.github.io/Logging_0486/klagomålsmail/A 50010-2023 FSC-klagomål mail.docx", "A 50010-2023")</f>
        <v/>
      </c>
      <c r="AA39">
        <f>HYPERLINK("https://klasma.github.io/Logging_0486/tillsyn/A 50010-2023 tillsynsbegäran.docx", "A 50010-2023")</f>
        <v/>
      </c>
      <c r="AB39">
        <f>HYPERLINK("https://klasma.github.io/Logging_0486/tillsynsmail/A 50010-2023 tillsynsbegäran mail.docx", "A 50010-2023")</f>
        <v/>
      </c>
    </row>
    <row r="40" ht="15" customHeight="1">
      <c r="A40" t="inlineStr">
        <is>
          <t>A 43391-2025</t>
        </is>
      </c>
      <c r="B40" t="inlineStr">
        <is>
          <t>avverkningsanmälan</t>
        </is>
      </c>
      <c r="C40" t="inlineStr">
        <is>
          <t>Föryngringsavverkning</t>
        </is>
      </c>
      <c r="D40" s="1" t="n">
        <v>45911</v>
      </c>
      <c r="E40" s="1" t="n">
        <v>46217</v>
      </c>
      <c r="F40" t="inlineStr">
        <is>
          <t>SÖDERMANLANDS LÄN</t>
        </is>
      </c>
      <c r="G40" t="inlineStr">
        <is>
          <t>STRÄNGNÄS</t>
        </is>
      </c>
      <c r="I40" t="n">
        <v>4.3</v>
      </c>
      <c r="J40" t="n">
        <v>1</v>
      </c>
      <c r="K40" t="n">
        <v>0</v>
      </c>
      <c r="L40" t="n">
        <v>1</v>
      </c>
      <c r="M40" t="n">
        <v>0</v>
      </c>
      <c r="N40" t="n">
        <v>0</v>
      </c>
      <c r="O40" t="n">
        <v>0</v>
      </c>
      <c r="P40" t="n">
        <v>0</v>
      </c>
      <c r="Q40" t="n">
        <v>1</v>
      </c>
      <c r="R40" t="n">
        <v>0</v>
      </c>
      <c r="S40" t="n">
        <v>1</v>
      </c>
      <c r="T40" t="n">
        <v>1</v>
      </c>
      <c r="U40" s="2" t="inlineStr">
        <is>
          <t>Göktyta</t>
        </is>
      </c>
      <c r="V40">
        <f>HYPERLINK("https://klasma.github.io/Logging_0486/artfynd/A 43391-2025 artfynd.xlsx", "A 43391-2025")</f>
        <v/>
      </c>
      <c r="W40">
        <f>HYPERLINK("https://klasma.github.io/Logging_0486/kartor/A 43391-2025 karta.png", "A 43391-2025")</f>
        <v/>
      </c>
      <c r="Y40">
        <f>HYPERLINK("https://klasma.github.io/Logging_0486/klagomål/A 43391-2025 FSC-klagomål.docx", "A 43391-2025")</f>
        <v/>
      </c>
      <c r="Z40">
        <f>HYPERLINK("https://klasma.github.io/Logging_0486/klagomålsmail/A 43391-2025 FSC-klagomål mail.docx", "A 43391-2025")</f>
        <v/>
      </c>
      <c r="AA40">
        <f>HYPERLINK("https://klasma.github.io/Logging_0486/tillsyn/A 43391-2025 tillsynsbegäran.docx", "A 43391-2025")</f>
        <v/>
      </c>
      <c r="AB40">
        <f>HYPERLINK("https://klasma.github.io/Logging_0486/tillsynsmail/A 43391-2025 tillsynsbegäran mail.docx", "A 43391-2025")</f>
        <v/>
      </c>
      <c r="AC40">
        <f>HYPERLINK("https://klasma.github.io/Logging_0486/fåglar/A 43391-2025 prioriterade fågelarter.docx", "A 43391-2025")</f>
        <v/>
      </c>
    </row>
    <row r="41" ht="15" customHeight="1">
      <c r="A41" t="inlineStr">
        <is>
          <t>A 692-2023</t>
        </is>
      </c>
      <c r="B41" t="inlineStr">
        <is>
          <t>avverkningsanmälan</t>
        </is>
      </c>
      <c r="C41" t="inlineStr">
        <is>
          <t>Föryngringsavverkning</t>
        </is>
      </c>
      <c r="D41" s="1" t="n">
        <v>44930</v>
      </c>
      <c r="E41" s="1" t="n">
        <v>46217</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s="2" t="inlineStr">
        <is>
          <t>Åttafläckig praktbagge</t>
        </is>
      </c>
      <c r="V41">
        <f>HYPERLINK("https://klasma.github.io/Logging_0486/artfynd/A 692-2023 artfynd.xlsx", "A 692-2023")</f>
        <v/>
      </c>
      <c r="W41">
        <f>HYPERLINK("https://klasma.github.io/Logging_0486/kartor/A 692-2023 karta.png", "A 692-2023")</f>
        <v/>
      </c>
      <c r="Y41">
        <f>HYPERLINK("https://klasma.github.io/Logging_0486/klagomål/A 692-2023 FSC-klagomål.docx", "A 692-2023")</f>
        <v/>
      </c>
      <c r="Z41">
        <f>HYPERLINK("https://klasma.github.io/Logging_0486/klagomålsmail/A 692-2023 FSC-klagomål mail.docx", "A 692-2023")</f>
        <v/>
      </c>
      <c r="AA41">
        <f>HYPERLINK("https://klasma.github.io/Logging_0486/tillsyn/A 692-2023 tillsynsbegäran.docx", "A 692-2023")</f>
        <v/>
      </c>
      <c r="AB41">
        <f>HYPERLINK("https://klasma.github.io/Logging_0486/tillsynsmail/A 692-2023 tillsynsbegäran mail.docx", "A 692-2023")</f>
        <v/>
      </c>
    </row>
    <row r="42" ht="15" customHeight="1">
      <c r="A42" t="inlineStr">
        <is>
          <t>A 42527-2025</t>
        </is>
      </c>
      <c r="B42" t="inlineStr">
        <is>
          <t>avverkningsanmälan</t>
        </is>
      </c>
      <c r="C42" t="inlineStr">
        <is>
          <t>Föryngringsavverkning</t>
        </is>
      </c>
      <c r="D42" s="1" t="n">
        <v>45905</v>
      </c>
      <c r="E42" s="1" t="n">
        <v>46217</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s="2" t="inlineStr">
        <is>
          <t>Mattlummer</t>
        </is>
      </c>
      <c r="V42">
        <f>HYPERLINK("https://klasma.github.io/Logging_0486/artfynd/A 42527-2025 artfynd.xlsx", "A 42527-2025")</f>
        <v/>
      </c>
      <c r="W42">
        <f>HYPERLINK("https://klasma.github.io/Logging_0486/kartor/A 42527-2025 karta.png", "A 42527-2025")</f>
        <v/>
      </c>
      <c r="Y42">
        <f>HYPERLINK("https://klasma.github.io/Logging_0486/klagomål/A 42527-2025 FSC-klagomål.docx", "A 42527-2025")</f>
        <v/>
      </c>
      <c r="Z42">
        <f>HYPERLINK("https://klasma.github.io/Logging_0486/klagomålsmail/A 42527-2025 FSC-klagomål mail.docx", "A 42527-2025")</f>
        <v/>
      </c>
      <c r="AA42">
        <f>HYPERLINK("https://klasma.github.io/Logging_0486/tillsyn/A 42527-2025 tillsynsbegäran.docx", "A 42527-2025")</f>
        <v/>
      </c>
      <c r="AB42">
        <f>HYPERLINK("https://klasma.github.io/Logging_0486/tillsynsmail/A 42527-2025 tillsynsbegäran mail.docx", "A 42527-2025")</f>
        <v/>
      </c>
    </row>
    <row r="43" ht="15" customHeight="1">
      <c r="A43" t="inlineStr">
        <is>
          <t>A 42345-2025</t>
        </is>
      </c>
      <c r="B43" t="inlineStr">
        <is>
          <t>avverkningsanmälan</t>
        </is>
      </c>
      <c r="C43" t="inlineStr">
        <is>
          <t>Avverkning för annat ändamål</t>
        </is>
      </c>
      <c r="D43" s="1" t="n">
        <v>45904</v>
      </c>
      <c r="E43" s="1" t="n">
        <v>46217</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s="2" t="inlineStr">
        <is>
          <t>Ask</t>
        </is>
      </c>
      <c r="V43">
        <f>HYPERLINK("https://klasma.github.io/Logging_0486/artfynd/A 42345-2025 artfynd.xlsx", "A 42345-2025")</f>
        <v/>
      </c>
      <c r="W43">
        <f>HYPERLINK("https://klasma.github.io/Logging_0486/kartor/A 42345-2025 karta.png", "A 42345-2025")</f>
        <v/>
      </c>
      <c r="Y43">
        <f>HYPERLINK("https://klasma.github.io/Logging_0486/klagomål/A 42345-2025 FSC-klagomål.docx", "A 42345-2025")</f>
        <v/>
      </c>
      <c r="Z43">
        <f>HYPERLINK("https://klasma.github.io/Logging_0486/klagomålsmail/A 42345-2025 FSC-klagomål mail.docx", "A 42345-2025")</f>
        <v/>
      </c>
      <c r="AA43">
        <f>HYPERLINK("https://klasma.github.io/Logging_0486/tillsyn/A 42345-2025 tillsynsbegäran.docx", "A 42345-2025")</f>
        <v/>
      </c>
      <c r="AB43">
        <f>HYPERLINK("https://klasma.github.io/Logging_0486/tillsynsmail/A 42345-2025 tillsynsbegäran mail.docx", "A 42345-2025")</f>
        <v/>
      </c>
    </row>
    <row r="44" ht="15" customHeight="1">
      <c r="A44" t="inlineStr">
        <is>
          <t>A 24454-2022</t>
        </is>
      </c>
      <c r="B44" t="inlineStr">
        <is>
          <t>avverkningsanmälan</t>
        </is>
      </c>
      <c r="C44" t="inlineStr">
        <is>
          <t>Föryngringsavverkning</t>
        </is>
      </c>
      <c r="D44" s="1" t="n">
        <v>44726</v>
      </c>
      <c r="E44" s="1" t="n">
        <v>46217</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s="2" t="inlineStr">
        <is>
          <t>Järpe</t>
        </is>
      </c>
      <c r="V44">
        <f>HYPERLINK("https://klasma.github.io/Logging_0486/artfynd/A 24454-2022 artfynd.xlsx", "A 24454-2022")</f>
        <v/>
      </c>
      <c r="W44">
        <f>HYPERLINK("https://klasma.github.io/Logging_0486/kartor/A 24454-2022 karta.png", "A 24454-2022")</f>
        <v/>
      </c>
      <c r="Y44">
        <f>HYPERLINK("https://klasma.github.io/Logging_0486/klagomål/A 24454-2022 FSC-klagomål.docx", "A 24454-2022")</f>
        <v/>
      </c>
      <c r="Z44">
        <f>HYPERLINK("https://klasma.github.io/Logging_0486/klagomålsmail/A 24454-2022 FSC-klagomål mail.docx", "A 24454-2022")</f>
        <v/>
      </c>
      <c r="AA44">
        <f>HYPERLINK("https://klasma.github.io/Logging_0486/tillsyn/A 24454-2022 tillsynsbegäran.docx", "A 24454-2022")</f>
        <v/>
      </c>
      <c r="AB44">
        <f>HYPERLINK("https://klasma.github.io/Logging_0486/tillsynsmail/A 24454-2022 tillsynsbegäran mail.docx", "A 24454-2022")</f>
        <v/>
      </c>
      <c r="AC44">
        <f>HYPERLINK("https://klasma.github.io/Logging_0486/fåglar/A 24454-2022 prioriterade fågelarter.docx", "A 24454-2022")</f>
        <v/>
      </c>
    </row>
    <row r="45" ht="15" customHeight="1">
      <c r="A45" t="inlineStr">
        <is>
          <t>A 52997-2025</t>
        </is>
      </c>
      <c r="B45" t="inlineStr">
        <is>
          <t>avverkningsanmälan</t>
        </is>
      </c>
      <c r="C45" t="inlineStr">
        <is>
          <t>Föryngringsavverkning</t>
        </is>
      </c>
      <c r="D45" s="1" t="n">
        <v>45957</v>
      </c>
      <c r="E45" s="1" t="n">
        <v>46217</v>
      </c>
      <c r="F45" t="inlineStr">
        <is>
          <t>SÖDERMANLANDS LÄN</t>
        </is>
      </c>
      <c r="G45" t="inlineStr">
        <is>
          <t>STRÄNGNÄS</t>
        </is>
      </c>
      <c r="I45" t="n">
        <v>1.4</v>
      </c>
      <c r="J45" t="n">
        <v>1</v>
      </c>
      <c r="K45" t="n">
        <v>0</v>
      </c>
      <c r="L45" t="n">
        <v>0</v>
      </c>
      <c r="M45" t="n">
        <v>1</v>
      </c>
      <c r="N45" t="n">
        <v>0</v>
      </c>
      <c r="O45" t="n">
        <v>0</v>
      </c>
      <c r="P45" t="n">
        <v>0</v>
      </c>
      <c r="Q45" t="n">
        <v>1</v>
      </c>
      <c r="R45" t="n">
        <v>1</v>
      </c>
      <c r="S45" t="n">
        <v>1</v>
      </c>
      <c r="T45" t="n">
        <v>1</v>
      </c>
      <c r="U45" s="2" t="inlineStr">
        <is>
          <t>Knärot</t>
        </is>
      </c>
      <c r="V45">
        <f>HYPERLINK("https://klasma.github.io/Logging_0486/artfynd/A 52997-2025 artfynd.xlsx", "A 52997-2025")</f>
        <v/>
      </c>
      <c r="W45">
        <f>HYPERLINK("https://klasma.github.io/Logging_0486/kartor/A 52997-2025 karta.png", "A 52997-2025")</f>
        <v/>
      </c>
      <c r="X45">
        <f>HYPERLINK("https://klasma.github.io/Logging_0486/knärot/A 52997-2025 karta knärot.png", "A 52997-2025")</f>
        <v/>
      </c>
      <c r="Y45">
        <f>HYPERLINK("https://klasma.github.io/Logging_0486/klagomål/A 52997-2025 FSC-klagomål.docx", "A 52997-2025")</f>
        <v/>
      </c>
      <c r="Z45">
        <f>HYPERLINK("https://klasma.github.io/Logging_0486/klagomålsmail/A 52997-2025 FSC-klagomål mail.docx", "A 52997-2025")</f>
        <v/>
      </c>
      <c r="AA45">
        <f>HYPERLINK("https://klasma.github.io/Logging_0486/tillsyn/A 52997-2025 tillsynsbegäran.docx", "A 52997-2025")</f>
        <v/>
      </c>
      <c r="AB45">
        <f>HYPERLINK("https://klasma.github.io/Logging_0486/tillsynsmail/A 52997-2025 tillsynsbegäran mail.docx", "A 52997-2025")</f>
        <v/>
      </c>
    </row>
    <row r="46" ht="15" customHeight="1">
      <c r="A46" t="inlineStr">
        <is>
          <t>A 35360-2024</t>
        </is>
      </c>
      <c r="B46" t="inlineStr">
        <is>
          <t>avverkningsanmälan</t>
        </is>
      </c>
      <c r="C46" t="inlineStr">
        <is>
          <t>Föryngringsavverkning</t>
        </is>
      </c>
      <c r="D46" s="1" t="n">
        <v>45531</v>
      </c>
      <c r="E46" s="1" t="n">
        <v>46217</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s="2" t="inlineStr">
        <is>
          <t>Grönpyrola</t>
        </is>
      </c>
      <c r="V46">
        <f>HYPERLINK("https://klasma.github.io/Logging_0486/artfynd/A 35360-2024 artfynd.xlsx", "A 35360-2024")</f>
        <v/>
      </c>
      <c r="W46">
        <f>HYPERLINK("https://klasma.github.io/Logging_0486/kartor/A 35360-2024 karta.png", "A 35360-2024")</f>
        <v/>
      </c>
      <c r="Y46">
        <f>HYPERLINK("https://klasma.github.io/Logging_0486/klagomål/A 35360-2024 FSC-klagomål.docx", "A 35360-2024")</f>
        <v/>
      </c>
      <c r="Z46">
        <f>HYPERLINK("https://klasma.github.io/Logging_0486/klagomålsmail/A 35360-2024 FSC-klagomål mail.docx", "A 35360-2024")</f>
        <v/>
      </c>
      <c r="AA46">
        <f>HYPERLINK("https://klasma.github.io/Logging_0486/tillsyn/A 35360-2024 tillsynsbegäran.docx", "A 35360-2024")</f>
        <v/>
      </c>
      <c r="AB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46217</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s="2" t="inlineStr">
        <is>
          <t>Spillkråka</t>
        </is>
      </c>
      <c r="V47">
        <f>HYPERLINK("https://klasma.github.io/Logging_0486/artfynd/A 72270-2021 artfynd.xlsx", "A 72270-2021")</f>
        <v/>
      </c>
      <c r="W47">
        <f>HYPERLINK("https://klasma.github.io/Logging_0486/kartor/A 72270-2021 karta.png", "A 72270-2021")</f>
        <v/>
      </c>
      <c r="Y47">
        <f>HYPERLINK("https://klasma.github.io/Logging_0486/klagomål/A 72270-2021 FSC-klagomål.docx", "A 72270-2021")</f>
        <v/>
      </c>
      <c r="Z47">
        <f>HYPERLINK("https://klasma.github.io/Logging_0486/klagomålsmail/A 72270-2021 FSC-klagomål mail.docx", "A 72270-2021")</f>
        <v/>
      </c>
      <c r="AA47">
        <f>HYPERLINK("https://klasma.github.io/Logging_0486/tillsyn/A 72270-2021 tillsynsbegäran.docx", "A 72270-2021")</f>
        <v/>
      </c>
      <c r="AB47">
        <f>HYPERLINK("https://klasma.github.io/Logging_0486/tillsynsmail/A 72270-2021 tillsynsbegäran mail.docx", "A 72270-2021")</f>
        <v/>
      </c>
      <c r="AC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46217</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s="2" t="inlineStr">
        <is>
          <t>Mistel</t>
        </is>
      </c>
      <c r="V48">
        <f>HYPERLINK("https://klasma.github.io/Logging_0486/artfynd/A 18879-2023 artfynd.xlsx", "A 18879-2023")</f>
        <v/>
      </c>
      <c r="W48">
        <f>HYPERLINK("https://klasma.github.io/Logging_0486/kartor/A 18879-2023 karta.png", "A 18879-2023")</f>
        <v/>
      </c>
      <c r="Y48">
        <f>HYPERLINK("https://klasma.github.io/Logging_0486/klagomål/A 18879-2023 FSC-klagomål.docx", "A 18879-2023")</f>
        <v/>
      </c>
      <c r="Z48">
        <f>HYPERLINK("https://klasma.github.io/Logging_0486/klagomålsmail/A 18879-2023 FSC-klagomål mail.docx", "A 18879-2023")</f>
        <v/>
      </c>
      <c r="AA48">
        <f>HYPERLINK("https://klasma.github.io/Logging_0486/tillsyn/A 18879-2023 tillsynsbegäran.docx", "A 18879-2023")</f>
        <v/>
      </c>
      <c r="AB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46217</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s="2" t="inlineStr">
        <is>
          <t>Ask</t>
        </is>
      </c>
      <c r="V49">
        <f>HYPERLINK("https://klasma.github.io/Logging_0486/artfynd/A 52355-2023 artfynd.xlsx", "A 52355-2023")</f>
        <v/>
      </c>
      <c r="W49">
        <f>HYPERLINK("https://klasma.github.io/Logging_0486/kartor/A 52355-2023 karta.png", "A 52355-2023")</f>
        <v/>
      </c>
      <c r="Y49">
        <f>HYPERLINK("https://klasma.github.io/Logging_0486/klagomål/A 52355-2023 FSC-klagomål.docx", "A 52355-2023")</f>
        <v/>
      </c>
      <c r="Z49">
        <f>HYPERLINK("https://klasma.github.io/Logging_0486/klagomålsmail/A 52355-2023 FSC-klagomål mail.docx", "A 52355-2023")</f>
        <v/>
      </c>
      <c r="AA49">
        <f>HYPERLINK("https://klasma.github.io/Logging_0486/tillsyn/A 52355-2023 tillsynsbegäran.docx", "A 52355-2023")</f>
        <v/>
      </c>
      <c r="AB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46217</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s="2" t="inlineStr"/>
    </row>
    <row r="51" ht="15" customHeight="1">
      <c r="A51" t="inlineStr">
        <is>
          <t>A 14024-2022</t>
        </is>
      </c>
      <c r="B51" t="inlineStr">
        <is>
          <t>avverkningsanmälan</t>
        </is>
      </c>
      <c r="C51" t="inlineStr">
        <is>
          <t>Föryngringsavverkning</t>
        </is>
      </c>
      <c r="D51" s="1" t="n">
        <v>44650</v>
      </c>
      <c r="E51" s="1" t="n">
        <v>46217</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s="2" t="inlineStr"/>
    </row>
    <row r="52" ht="15" customHeight="1">
      <c r="A52" t="inlineStr">
        <is>
          <t>A 36853-2022</t>
        </is>
      </c>
      <c r="B52" t="inlineStr">
        <is>
          <t>avverkningsanmälan</t>
        </is>
      </c>
      <c r="C52" t="inlineStr">
        <is>
          <t>Föryngringsavverkning</t>
        </is>
      </c>
      <c r="D52" s="1" t="n">
        <v>44805</v>
      </c>
      <c r="E52" s="1" t="n">
        <v>46217</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s="2" t="inlineStr"/>
    </row>
    <row r="53" ht="15" customHeight="1">
      <c r="A53" t="inlineStr">
        <is>
          <t>A 2574-2022</t>
        </is>
      </c>
      <c r="B53" t="inlineStr">
        <is>
          <t>avverkningsanmälan</t>
        </is>
      </c>
      <c r="C53" t="inlineStr">
        <is>
          <t>Föryngringsavverkning</t>
        </is>
      </c>
      <c r="D53" s="1" t="n">
        <v>44579</v>
      </c>
      <c r="E53" s="1" t="n">
        <v>46217</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s="2" t="inlineStr"/>
    </row>
    <row r="54" ht="15" customHeight="1">
      <c r="A54" t="inlineStr">
        <is>
          <t>A 40814-2021</t>
        </is>
      </c>
      <c r="B54" t="inlineStr">
        <is>
          <t>avverkningsanmälan</t>
        </is>
      </c>
      <c r="C54" t="inlineStr">
        <is>
          <t>Föryngringsavverkning</t>
        </is>
      </c>
      <c r="D54" s="1" t="n">
        <v>44421</v>
      </c>
      <c r="E54" s="1" t="n">
        <v>46217</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s="2" t="inlineStr"/>
    </row>
    <row r="55" ht="15" customHeight="1">
      <c r="A55" t="inlineStr">
        <is>
          <t>A 10413-2022</t>
        </is>
      </c>
      <c r="B55" t="inlineStr">
        <is>
          <t>avverkningsanmälan</t>
        </is>
      </c>
      <c r="C55" t="inlineStr">
        <is>
          <t>Föryngringsavverkning</t>
        </is>
      </c>
      <c r="D55" s="1" t="n">
        <v>44623</v>
      </c>
      <c r="E55" s="1" t="n">
        <v>46217</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s="2" t="inlineStr"/>
    </row>
    <row r="56" ht="15" customHeight="1">
      <c r="A56" t="inlineStr">
        <is>
          <t>A 47251-2021</t>
        </is>
      </c>
      <c r="B56" t="inlineStr">
        <is>
          <t>avverkningsanmälan</t>
        </is>
      </c>
      <c r="C56" t="inlineStr">
        <is>
          <t>Föryngringsavverkning</t>
        </is>
      </c>
      <c r="D56" s="1" t="n">
        <v>44439</v>
      </c>
      <c r="E56" s="1" t="n">
        <v>46217</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s="2" t="inlineStr"/>
    </row>
    <row r="57" ht="15" customHeight="1">
      <c r="A57" t="inlineStr">
        <is>
          <t>A 12277-2022</t>
        </is>
      </c>
      <c r="B57" t="inlineStr">
        <is>
          <t>avverkningsanmälan</t>
        </is>
      </c>
      <c r="C57" t="inlineStr">
        <is>
          <t>Föryngringsavverkning</t>
        </is>
      </c>
      <c r="D57" s="1" t="n">
        <v>44637</v>
      </c>
      <c r="E57" s="1" t="n">
        <v>46217</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s="2" t="inlineStr"/>
    </row>
    <row r="58" ht="15" customHeight="1">
      <c r="A58" t="inlineStr">
        <is>
          <t>A 15814-2022</t>
        </is>
      </c>
      <c r="B58" t="inlineStr">
        <is>
          <t>avverkningsanmälan</t>
        </is>
      </c>
      <c r="C58" t="inlineStr">
        <is>
          <t>Föryngringsavverkning</t>
        </is>
      </c>
      <c r="D58" s="1" t="n">
        <v>44664</v>
      </c>
      <c r="E58" s="1" t="n">
        <v>46217</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s="2" t="inlineStr"/>
    </row>
    <row r="59" ht="15" customHeight="1">
      <c r="A59" t="inlineStr">
        <is>
          <t>A 47453-2022</t>
        </is>
      </c>
      <c r="B59" t="inlineStr">
        <is>
          <t>avverkningsanmälan</t>
        </is>
      </c>
      <c r="C59" t="inlineStr">
        <is>
          <t>Föryngringsavverkning</t>
        </is>
      </c>
      <c r="D59" s="1" t="n">
        <v>44852</v>
      </c>
      <c r="E59" s="1" t="n">
        <v>46217</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s="2" t="inlineStr"/>
    </row>
    <row r="60" ht="15" customHeight="1">
      <c r="A60" t="inlineStr">
        <is>
          <t>A 60331-2021</t>
        </is>
      </c>
      <c r="B60" t="inlineStr">
        <is>
          <t>avverkningsanmälan</t>
        </is>
      </c>
      <c r="C60" t="inlineStr">
        <is>
          <t>Föryngringsavverkning</t>
        </is>
      </c>
      <c r="D60" s="1" t="n">
        <v>44495</v>
      </c>
      <c r="E60" s="1" t="n">
        <v>46217</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s="2" t="inlineStr"/>
    </row>
    <row r="61" ht="15" customHeight="1">
      <c r="A61" t="inlineStr">
        <is>
          <t>A 39175-2021</t>
        </is>
      </c>
      <c r="B61" t="inlineStr">
        <is>
          <t>avverkningsanmälan</t>
        </is>
      </c>
      <c r="C61" t="inlineStr">
        <is>
          <t>Föryngringsavverkning</t>
        </is>
      </c>
      <c r="D61" s="1" t="n">
        <v>44412</v>
      </c>
      <c r="E61" s="1" t="n">
        <v>46217</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s="2" t="inlineStr"/>
    </row>
    <row r="62" ht="15" customHeight="1">
      <c r="A62" t="inlineStr">
        <is>
          <t>A 38339-2021</t>
        </is>
      </c>
      <c r="B62" t="inlineStr">
        <is>
          <t>avverkningsanmälan</t>
        </is>
      </c>
      <c r="C62" t="inlineStr">
        <is>
          <t>Föryngringsavverkning</t>
        </is>
      </c>
      <c r="D62" s="1" t="n">
        <v>44406</v>
      </c>
      <c r="E62" s="1" t="n">
        <v>46217</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s="2" t="inlineStr"/>
    </row>
    <row r="63" ht="15" customHeight="1">
      <c r="A63" t="inlineStr">
        <is>
          <t>A 49992-2021</t>
        </is>
      </c>
      <c r="B63" t="inlineStr">
        <is>
          <t>avverkningsanmälan</t>
        </is>
      </c>
      <c r="C63" t="inlineStr">
        <is>
          <t>Föryngringsavverkning</t>
        </is>
      </c>
      <c r="D63" s="1" t="n">
        <v>44456</v>
      </c>
      <c r="E63" s="1" t="n">
        <v>46217</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s="2" t="inlineStr"/>
    </row>
    <row r="64" ht="15" customHeight="1">
      <c r="A64" t="inlineStr">
        <is>
          <t>A 55663-2021</t>
        </is>
      </c>
      <c r="B64" t="inlineStr">
        <is>
          <t>avverkningsanmälan</t>
        </is>
      </c>
      <c r="C64" t="inlineStr">
        <is>
          <t>Föryngringsavverkning</t>
        </is>
      </c>
      <c r="D64" s="1" t="n">
        <v>44475</v>
      </c>
      <c r="E64" s="1" t="n">
        <v>46217</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s="2" t="inlineStr"/>
    </row>
    <row r="65" ht="15" customHeight="1">
      <c r="A65" t="inlineStr">
        <is>
          <t>A 7923-2022</t>
        </is>
      </c>
      <c r="B65" t="inlineStr">
        <is>
          <t>avverkningsanmälan</t>
        </is>
      </c>
      <c r="C65" t="inlineStr">
        <is>
          <t>Föryngringsavverkning</t>
        </is>
      </c>
      <c r="D65" s="1" t="n">
        <v>44608</v>
      </c>
      <c r="E65" s="1" t="n">
        <v>46217</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s="2" t="inlineStr"/>
    </row>
    <row r="66" ht="15" customHeight="1">
      <c r="A66" t="inlineStr">
        <is>
          <t>A 45129-2021</t>
        </is>
      </c>
      <c r="B66" t="inlineStr">
        <is>
          <t>avverkningsanmälan</t>
        </is>
      </c>
      <c r="C66" t="inlineStr">
        <is>
          <t>Föryngringsavverkning</t>
        </is>
      </c>
      <c r="D66" s="1" t="n">
        <v>44439</v>
      </c>
      <c r="E66" s="1" t="n">
        <v>46217</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s="2" t="inlineStr"/>
    </row>
    <row r="67" ht="15" customHeight="1">
      <c r="A67" t="inlineStr">
        <is>
          <t>A 45131-2021</t>
        </is>
      </c>
      <c r="B67" t="inlineStr">
        <is>
          <t>avverkningsanmälan</t>
        </is>
      </c>
      <c r="C67" t="inlineStr">
        <is>
          <t>Föryngringsavverkning</t>
        </is>
      </c>
      <c r="D67" s="1" t="n">
        <v>44439</v>
      </c>
      <c r="E67" s="1" t="n">
        <v>46217</v>
      </c>
      <c r="F67" t="inlineStr">
        <is>
          <t>SÖDERMANLANDS LÄN</t>
        </is>
      </c>
      <c r="G67" t="inlineStr">
        <is>
          <t>STRÄNGNÄS</t>
        </is>
      </c>
      <c r="H67" t="inlineStr">
        <is>
          <t>Kommuner</t>
        </is>
      </c>
      <c r="I67" t="n">
        <v>6.2</v>
      </c>
      <c r="J67" t="n">
        <v>0</v>
      </c>
      <c r="K67" t="n">
        <v>0</v>
      </c>
      <c r="L67" t="n">
        <v>0</v>
      </c>
      <c r="M67" t="n">
        <v>0</v>
      </c>
      <c r="N67" t="n">
        <v>0</v>
      </c>
      <c r="O67" t="n">
        <v>0</v>
      </c>
      <c r="P67" t="n">
        <v>0</v>
      </c>
      <c r="Q67" t="n">
        <v>0</v>
      </c>
      <c r="R67" t="n">
        <v>0</v>
      </c>
      <c r="S67" t="n">
        <v>0</v>
      </c>
      <c r="T67" t="n">
        <v>0</v>
      </c>
      <c r="U67" s="2" t="inlineStr"/>
    </row>
    <row r="68" ht="15" customHeight="1">
      <c r="A68" t="inlineStr">
        <is>
          <t>A 73092-2021</t>
        </is>
      </c>
      <c r="B68" t="inlineStr">
        <is>
          <t>avverkningsanmälan</t>
        </is>
      </c>
      <c r="C68" t="inlineStr">
        <is>
          <t>Föryngringsavverkning</t>
        </is>
      </c>
      <c r="D68" s="1" t="n">
        <v>44550</v>
      </c>
      <c r="E68" s="1" t="n">
        <v>46217</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s="2" t="inlineStr"/>
    </row>
    <row r="69" ht="15" customHeight="1">
      <c r="A69" t="inlineStr">
        <is>
          <t>A 12688-2022</t>
        </is>
      </c>
      <c r="B69" t="inlineStr">
        <is>
          <t>avverkningsanmälan</t>
        </is>
      </c>
      <c r="C69" t="inlineStr">
        <is>
          <t>Föryngringsavverkning</t>
        </is>
      </c>
      <c r="D69" s="1" t="n">
        <v>44641</v>
      </c>
      <c r="E69" s="1" t="n">
        <v>46217</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s="2" t="inlineStr"/>
    </row>
    <row r="70" ht="15" customHeight="1">
      <c r="A70" t="inlineStr">
        <is>
          <t>A 12685-2022</t>
        </is>
      </c>
      <c r="B70" t="inlineStr">
        <is>
          <t>avverkningsanmälan</t>
        </is>
      </c>
      <c r="C70" t="inlineStr">
        <is>
          <t>Föryngringsavverkning</t>
        </is>
      </c>
      <c r="D70" s="1" t="n">
        <v>44641</v>
      </c>
      <c r="E70" s="1" t="n">
        <v>46217</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s="2" t="inlineStr"/>
    </row>
    <row r="71" ht="15" customHeight="1">
      <c r="A71" t="inlineStr">
        <is>
          <t>A 10391-2022</t>
        </is>
      </c>
      <c r="B71" t="inlineStr">
        <is>
          <t>avverkningsanmälan</t>
        </is>
      </c>
      <c r="C71" t="inlineStr">
        <is>
          <t>Föryngringsavverkning</t>
        </is>
      </c>
      <c r="D71" s="1" t="n">
        <v>44623</v>
      </c>
      <c r="E71" s="1" t="n">
        <v>46217</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s="2" t="inlineStr"/>
    </row>
    <row r="72" ht="15" customHeight="1">
      <c r="A72" t="inlineStr">
        <is>
          <t>A 62617-2021</t>
        </is>
      </c>
      <c r="B72" t="inlineStr">
        <is>
          <t>avverkningsanmälan</t>
        </is>
      </c>
      <c r="C72" t="inlineStr">
        <is>
          <t>Föryngringsavverkning</t>
        </is>
      </c>
      <c r="D72" s="1" t="n">
        <v>44503</v>
      </c>
      <c r="E72" s="1" t="n">
        <v>46217</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s="2" t="inlineStr"/>
    </row>
    <row r="73" ht="15" customHeight="1">
      <c r="A73" t="inlineStr">
        <is>
          <t>A 21794-2022</t>
        </is>
      </c>
      <c r="B73" t="inlineStr">
        <is>
          <t>avverkningsanmälan</t>
        </is>
      </c>
      <c r="C73" t="inlineStr">
        <is>
          <t>Föryngringsavverkning</t>
        </is>
      </c>
      <c r="D73" s="1" t="n">
        <v>44708</v>
      </c>
      <c r="E73" s="1" t="n">
        <v>46217</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s="2" t="inlineStr"/>
    </row>
    <row r="74" ht="15" customHeight="1">
      <c r="A74" t="inlineStr">
        <is>
          <t>A 69178-2021</t>
        </is>
      </c>
      <c r="B74" t="inlineStr">
        <is>
          <t>avverkningsanmälan</t>
        </is>
      </c>
      <c r="C74" t="inlineStr">
        <is>
          <t>Föryngringsavverkning</t>
        </is>
      </c>
      <c r="D74" s="1" t="n">
        <v>44531</v>
      </c>
      <c r="E74" s="1" t="n">
        <v>46217</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s="2" t="inlineStr"/>
    </row>
    <row r="75" ht="15" customHeight="1">
      <c r="A75" t="inlineStr">
        <is>
          <t>A 43523-2021</t>
        </is>
      </c>
      <c r="B75" t="inlineStr">
        <is>
          <t>avverkningsanmälan</t>
        </is>
      </c>
      <c r="C75" t="inlineStr">
        <is>
          <t>Föryngringsavverkning</t>
        </is>
      </c>
      <c r="D75" s="1" t="n">
        <v>44432</v>
      </c>
      <c r="E75" s="1" t="n">
        <v>46217</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s="2" t="inlineStr"/>
    </row>
    <row r="76" ht="15" customHeight="1">
      <c r="A76" t="inlineStr">
        <is>
          <t>A 30677-2022</t>
        </is>
      </c>
      <c r="B76" t="inlineStr">
        <is>
          <t>avverkningsanmälan</t>
        </is>
      </c>
      <c r="C76" t="inlineStr">
        <is>
          <t>Föryngringsavverkning</t>
        </is>
      </c>
      <c r="D76" s="1" t="n">
        <v>44763</v>
      </c>
      <c r="E76" s="1" t="n">
        <v>46217</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s="2" t="inlineStr"/>
    </row>
    <row r="77" ht="15" customHeight="1">
      <c r="A77" t="inlineStr">
        <is>
          <t>A 66541-2021</t>
        </is>
      </c>
      <c r="B77" t="inlineStr">
        <is>
          <t>avverkningsanmälan</t>
        </is>
      </c>
      <c r="C77" t="inlineStr">
        <is>
          <t>Föryngringsavverkning</t>
        </is>
      </c>
      <c r="D77" s="1" t="n">
        <v>44519</v>
      </c>
      <c r="E77" s="1" t="n">
        <v>46217</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s="2" t="inlineStr"/>
    </row>
    <row r="78" ht="15" customHeight="1">
      <c r="A78" t="inlineStr">
        <is>
          <t>A 47763-2022</t>
        </is>
      </c>
      <c r="B78" t="inlineStr">
        <is>
          <t>avverkningsanmälan</t>
        </is>
      </c>
      <c r="C78" t="inlineStr">
        <is>
          <t>Föryngringsavverkning</t>
        </is>
      </c>
      <c r="D78" s="1" t="n">
        <v>44854</v>
      </c>
      <c r="E78" s="1" t="n">
        <v>46217</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s="2" t="inlineStr"/>
    </row>
    <row r="79" ht="15" customHeight="1">
      <c r="A79" t="inlineStr">
        <is>
          <t>A 53139-2022</t>
        </is>
      </c>
      <c r="B79" t="inlineStr">
        <is>
          <t>avverkningsanmälan</t>
        </is>
      </c>
      <c r="C79" t="inlineStr">
        <is>
          <t>Föryngringsavverkning</t>
        </is>
      </c>
      <c r="D79" s="1" t="n">
        <v>44873</v>
      </c>
      <c r="E79" s="1" t="n">
        <v>46217</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s="2" t="inlineStr"/>
    </row>
    <row r="80" ht="15" customHeight="1">
      <c r="A80" t="inlineStr">
        <is>
          <t>A 67639-2021</t>
        </is>
      </c>
      <c r="B80" t="inlineStr">
        <is>
          <t>avverkningsanmälan</t>
        </is>
      </c>
      <c r="C80" t="inlineStr">
        <is>
          <t>Föryngringsavverkning</t>
        </is>
      </c>
      <c r="D80" s="1" t="n">
        <v>44524</v>
      </c>
      <c r="E80" s="1" t="n">
        <v>46217</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s="2" t="inlineStr"/>
    </row>
    <row r="81" ht="15" customHeight="1">
      <c r="A81" t="inlineStr">
        <is>
          <t>A 22069-2022</t>
        </is>
      </c>
      <c r="B81" t="inlineStr">
        <is>
          <t>avverkningsanmälan</t>
        </is>
      </c>
      <c r="C81" t="inlineStr">
        <is>
          <t>Avverkning för annat ändamål</t>
        </is>
      </c>
      <c r="D81" s="1" t="n">
        <v>44711</v>
      </c>
      <c r="E81" s="1" t="n">
        <v>46217</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s="2" t="inlineStr"/>
    </row>
    <row r="82" ht="15" customHeight="1">
      <c r="A82" t="inlineStr">
        <is>
          <t>A 50709-2022</t>
        </is>
      </c>
      <c r="B82" t="inlineStr">
        <is>
          <t>avverkningsanmälan</t>
        </is>
      </c>
      <c r="C82" t="inlineStr">
        <is>
          <t>Föryngringsavverkning</t>
        </is>
      </c>
      <c r="D82" s="1" t="n">
        <v>44867</v>
      </c>
      <c r="E82" s="1" t="n">
        <v>46217</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s="2" t="inlineStr"/>
    </row>
    <row r="83" ht="15" customHeight="1">
      <c r="A83" t="inlineStr">
        <is>
          <t>A 42103-2022</t>
        </is>
      </c>
      <c r="B83" t="inlineStr">
        <is>
          <t>avverkningsanmälan</t>
        </is>
      </c>
      <c r="C83" t="inlineStr">
        <is>
          <t>Föryngringsavverkning</t>
        </is>
      </c>
      <c r="D83" s="1" t="n">
        <v>44830</v>
      </c>
      <c r="E83" s="1" t="n">
        <v>46217</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s="2" t="inlineStr"/>
    </row>
    <row r="84" ht="15" customHeight="1">
      <c r="A84" t="inlineStr">
        <is>
          <t>A 35814-2022</t>
        </is>
      </c>
      <c r="B84" t="inlineStr">
        <is>
          <t>avverkningsanmälan</t>
        </is>
      </c>
      <c r="C84" t="inlineStr">
        <is>
          <t>Föryngringsavverkning</t>
        </is>
      </c>
      <c r="D84" s="1" t="n">
        <v>44799</v>
      </c>
      <c r="E84" s="1" t="n">
        <v>46217</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s="2" t="inlineStr"/>
    </row>
    <row r="85" ht="15" customHeight="1">
      <c r="A85" t="inlineStr">
        <is>
          <t>A 46586-2021</t>
        </is>
      </c>
      <c r="B85" t="inlineStr">
        <is>
          <t>avverkningsanmälan</t>
        </is>
      </c>
      <c r="C85" t="inlineStr">
        <is>
          <t>Föryngringsavverkning</t>
        </is>
      </c>
      <c r="D85" s="1" t="n">
        <v>44445</v>
      </c>
      <c r="E85" s="1" t="n">
        <v>46217</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s="2" t="inlineStr"/>
    </row>
    <row r="86" ht="15" customHeight="1">
      <c r="A86" t="inlineStr">
        <is>
          <t>A 51815-2022</t>
        </is>
      </c>
      <c r="B86" t="inlineStr">
        <is>
          <t>avverkningsanmälan</t>
        </is>
      </c>
      <c r="C86" t="inlineStr">
        <is>
          <t>Föryngringsavverkning</t>
        </is>
      </c>
      <c r="D86" s="1" t="n">
        <v>44872</v>
      </c>
      <c r="E86" s="1" t="n">
        <v>46217</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s="2" t="inlineStr"/>
    </row>
    <row r="87" ht="15" customHeight="1">
      <c r="A87" t="inlineStr">
        <is>
          <t>A 51772-2022</t>
        </is>
      </c>
      <c r="B87" t="inlineStr">
        <is>
          <t>avverkningsanmälan</t>
        </is>
      </c>
      <c r="C87" t="inlineStr">
        <is>
          <t>Föryngringsavverkning</t>
        </is>
      </c>
      <c r="D87" s="1" t="n">
        <v>44872</v>
      </c>
      <c r="E87" s="1" t="n">
        <v>46217</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s="2" t="inlineStr"/>
    </row>
    <row r="88" ht="15" customHeight="1">
      <c r="A88" t="inlineStr">
        <is>
          <t>A 9701-2022</t>
        </is>
      </c>
      <c r="B88" t="inlineStr">
        <is>
          <t>avverkningsanmälan</t>
        </is>
      </c>
      <c r="C88" t="inlineStr">
        <is>
          <t>Föryngringsavverkning</t>
        </is>
      </c>
      <c r="D88" s="1" t="n">
        <v>44617</v>
      </c>
      <c r="E88" s="1" t="n">
        <v>46217</v>
      </c>
      <c r="F88" t="inlineStr">
        <is>
          <t>SÖDERMANLANDS LÄN</t>
        </is>
      </c>
      <c r="G88" t="inlineStr">
        <is>
          <t>STRÄNGNÄS</t>
        </is>
      </c>
      <c r="I88" t="n">
        <v>1.1</v>
      </c>
      <c r="J88" t="n">
        <v>0</v>
      </c>
      <c r="K88" t="n">
        <v>0</v>
      </c>
      <c r="L88" t="n">
        <v>0</v>
      </c>
      <c r="M88" t="n">
        <v>0</v>
      </c>
      <c r="N88" t="n">
        <v>0</v>
      </c>
      <c r="O88" t="n">
        <v>0</v>
      </c>
      <c r="P88" t="n">
        <v>0</v>
      </c>
      <c r="Q88" t="n">
        <v>0</v>
      </c>
      <c r="R88" t="n">
        <v>0</v>
      </c>
      <c r="S88" t="n">
        <v>0</v>
      </c>
      <c r="T88" t="n">
        <v>0</v>
      </c>
      <c r="U88" s="2" t="inlineStr"/>
    </row>
    <row r="89" ht="15" customHeight="1">
      <c r="A89" t="inlineStr">
        <is>
          <t>A 70934-2021</t>
        </is>
      </c>
      <c r="B89" t="inlineStr">
        <is>
          <t>avverkningsanmälan</t>
        </is>
      </c>
      <c r="C89" t="inlineStr">
        <is>
          <t>Föryngringsavverkning</t>
        </is>
      </c>
      <c r="D89" s="1" t="n">
        <v>44537</v>
      </c>
      <c r="E89" s="1" t="n">
        <v>46217</v>
      </c>
      <c r="F89" t="inlineStr">
        <is>
          <t>SÖDERMANLANDS LÄN</t>
        </is>
      </c>
      <c r="G89" t="inlineStr">
        <is>
          <t>STRÄNGNÄS</t>
        </is>
      </c>
      <c r="I89" t="n">
        <v>2.3</v>
      </c>
      <c r="J89" t="n">
        <v>0</v>
      </c>
      <c r="K89" t="n">
        <v>0</v>
      </c>
      <c r="L89" t="n">
        <v>0</v>
      </c>
      <c r="M89" t="n">
        <v>0</v>
      </c>
      <c r="N89" t="n">
        <v>0</v>
      </c>
      <c r="O89" t="n">
        <v>0</v>
      </c>
      <c r="P89" t="n">
        <v>0</v>
      </c>
      <c r="Q89" t="n">
        <v>0</v>
      </c>
      <c r="R89" t="n">
        <v>0</v>
      </c>
      <c r="S89" t="n">
        <v>0</v>
      </c>
      <c r="T89" t="n">
        <v>0</v>
      </c>
      <c r="U89" s="2" t="inlineStr"/>
    </row>
    <row r="90" ht="15" customHeight="1">
      <c r="A90" t="inlineStr">
        <is>
          <t>A 9158-2022</t>
        </is>
      </c>
      <c r="B90" t="inlineStr">
        <is>
          <t>avverkningsanmälan</t>
        </is>
      </c>
      <c r="C90" t="inlineStr">
        <is>
          <t>Föryngringsavverkning</t>
        </is>
      </c>
      <c r="D90" s="1" t="n">
        <v>44615</v>
      </c>
      <c r="E90" s="1" t="n">
        <v>46217</v>
      </c>
      <c r="F90" t="inlineStr">
        <is>
          <t>SÖDERMANLANDS LÄN</t>
        </is>
      </c>
      <c r="G90" t="inlineStr">
        <is>
          <t>STRÄNGNÄS</t>
        </is>
      </c>
      <c r="I90" t="n">
        <v>3.3</v>
      </c>
      <c r="J90" t="n">
        <v>0</v>
      </c>
      <c r="K90" t="n">
        <v>0</v>
      </c>
      <c r="L90" t="n">
        <v>0</v>
      </c>
      <c r="M90" t="n">
        <v>0</v>
      </c>
      <c r="N90" t="n">
        <v>0</v>
      </c>
      <c r="O90" t="n">
        <v>0</v>
      </c>
      <c r="P90" t="n">
        <v>0</v>
      </c>
      <c r="Q90" t="n">
        <v>0</v>
      </c>
      <c r="R90" t="n">
        <v>0</v>
      </c>
      <c r="S90" t="n">
        <v>0</v>
      </c>
      <c r="T90" t="n">
        <v>0</v>
      </c>
      <c r="U90" s="2" t="inlineStr"/>
    </row>
    <row r="91" ht="15" customHeight="1">
      <c r="A91" t="inlineStr">
        <is>
          <t>A 21526-2022</t>
        </is>
      </c>
      <c r="B91" t="inlineStr">
        <is>
          <t>avverkningsanmälan</t>
        </is>
      </c>
      <c r="C91" t="inlineStr">
        <is>
          <t>Föryngringsavverkning</t>
        </is>
      </c>
      <c r="D91" s="1" t="n">
        <v>44706</v>
      </c>
      <c r="E91" s="1" t="n">
        <v>46217</v>
      </c>
      <c r="F91" t="inlineStr">
        <is>
          <t>SÖDERMANLANDS LÄN</t>
        </is>
      </c>
      <c r="G91" t="inlineStr">
        <is>
          <t>STRÄNGNÄS</t>
        </is>
      </c>
      <c r="H91" t="inlineStr">
        <is>
          <t>Allmännings- och besparingsskogar</t>
        </is>
      </c>
      <c r="I91" t="n">
        <v>1</v>
      </c>
      <c r="J91" t="n">
        <v>0</v>
      </c>
      <c r="K91" t="n">
        <v>0</v>
      </c>
      <c r="L91" t="n">
        <v>0</v>
      </c>
      <c r="M91" t="n">
        <v>0</v>
      </c>
      <c r="N91" t="n">
        <v>0</v>
      </c>
      <c r="O91" t="n">
        <v>0</v>
      </c>
      <c r="P91" t="n">
        <v>0</v>
      </c>
      <c r="Q91" t="n">
        <v>0</v>
      </c>
      <c r="R91" t="n">
        <v>0</v>
      </c>
      <c r="S91" t="n">
        <v>0</v>
      </c>
      <c r="T91" t="n">
        <v>0</v>
      </c>
      <c r="U91" s="2" t="inlineStr"/>
    </row>
    <row r="92" ht="15" customHeight="1">
      <c r="A92" t="inlineStr">
        <is>
          <t>A 63301-2021</t>
        </is>
      </c>
      <c r="B92" t="inlineStr">
        <is>
          <t>avverkningsanmälan</t>
        </is>
      </c>
      <c r="C92" t="inlineStr">
        <is>
          <t>Föryngringsavverkning</t>
        </is>
      </c>
      <c r="D92" s="1" t="n">
        <v>44505</v>
      </c>
      <c r="E92" s="1" t="n">
        <v>46217</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s="2" t="inlineStr"/>
    </row>
    <row r="93" ht="15" customHeight="1">
      <c r="A93" t="inlineStr">
        <is>
          <t>A 38332-2021</t>
        </is>
      </c>
      <c r="B93" t="inlineStr">
        <is>
          <t>avverkningsanmälan</t>
        </is>
      </c>
      <c r="C93" t="inlineStr">
        <is>
          <t>Föryngringsavverkning</t>
        </is>
      </c>
      <c r="D93" s="1" t="n">
        <v>44406</v>
      </c>
      <c r="E93" s="1" t="n">
        <v>46217</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s="2" t="inlineStr"/>
    </row>
    <row r="94" ht="15" customHeight="1">
      <c r="A94" t="inlineStr">
        <is>
          <t>A 22080-2022</t>
        </is>
      </c>
      <c r="B94" t="inlineStr">
        <is>
          <t>avverkningsanmälan</t>
        </is>
      </c>
      <c r="C94" t="inlineStr">
        <is>
          <t>Föryngringsavverkning</t>
        </is>
      </c>
      <c r="D94" s="1" t="n">
        <v>44711</v>
      </c>
      <c r="E94" s="1" t="n">
        <v>46217</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s="2" t="inlineStr"/>
    </row>
    <row r="95" ht="15" customHeight="1">
      <c r="A95" t="inlineStr">
        <is>
          <t>A 51762-2022</t>
        </is>
      </c>
      <c r="B95" t="inlineStr">
        <is>
          <t>avverkningsanmälan</t>
        </is>
      </c>
      <c r="C95" t="inlineStr">
        <is>
          <t>Föryngringsavverkning</t>
        </is>
      </c>
      <c r="D95" s="1" t="n">
        <v>44872</v>
      </c>
      <c r="E95" s="1" t="n">
        <v>46217</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s="2" t="inlineStr"/>
    </row>
    <row r="96" ht="15" customHeight="1">
      <c r="A96" t="inlineStr">
        <is>
          <t>A 9607-2022</t>
        </is>
      </c>
      <c r="B96" t="inlineStr">
        <is>
          <t>avverkningsanmälan</t>
        </is>
      </c>
      <c r="C96" t="inlineStr">
        <is>
          <t>Föryngringsavverkning</t>
        </is>
      </c>
      <c r="D96" s="1" t="n">
        <v>44617</v>
      </c>
      <c r="E96" s="1" t="n">
        <v>46217</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s="2" t="inlineStr"/>
    </row>
    <row r="97" ht="15" customHeight="1">
      <c r="A97" t="inlineStr">
        <is>
          <t>A 60398-2021</t>
        </is>
      </c>
      <c r="B97" t="inlineStr">
        <is>
          <t>avverkningsanmälan</t>
        </is>
      </c>
      <c r="C97" t="inlineStr">
        <is>
          <t>Föryngringsavverkning</t>
        </is>
      </c>
      <c r="D97" s="1" t="n">
        <v>44496</v>
      </c>
      <c r="E97" s="1" t="n">
        <v>46217</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s="2" t="inlineStr"/>
    </row>
    <row r="98" ht="15" customHeight="1">
      <c r="A98" t="inlineStr">
        <is>
          <t>A 33492-2022</t>
        </is>
      </c>
      <c r="B98" t="inlineStr">
        <is>
          <t>avverkningsanmälan</t>
        </is>
      </c>
      <c r="C98" t="inlineStr">
        <is>
          <t>Avverkning för annat ändamål</t>
        </is>
      </c>
      <c r="D98" s="1" t="n">
        <v>44788</v>
      </c>
      <c r="E98" s="1" t="n">
        <v>46217</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s="2" t="inlineStr"/>
    </row>
    <row r="99" ht="15" customHeight="1">
      <c r="A99" t="inlineStr">
        <is>
          <t>A 41241-2022</t>
        </is>
      </c>
      <c r="B99" t="inlineStr">
        <is>
          <t>avverkningsanmälan</t>
        </is>
      </c>
      <c r="C99" t="inlineStr">
        <is>
          <t>Föryngringsavverkning</t>
        </is>
      </c>
      <c r="D99" s="1" t="n">
        <v>44826</v>
      </c>
      <c r="E99" s="1" t="n">
        <v>46217</v>
      </c>
      <c r="F99" t="inlineStr">
        <is>
          <t>SÖDERMANLANDS LÄN</t>
        </is>
      </c>
      <c r="G99" t="inlineStr">
        <is>
          <t>STRÄNGNÄS</t>
        </is>
      </c>
      <c r="I99" t="n">
        <v>9.199999999999999</v>
      </c>
      <c r="J99" t="n">
        <v>0</v>
      </c>
      <c r="K99" t="n">
        <v>0</v>
      </c>
      <c r="L99" t="n">
        <v>0</v>
      </c>
      <c r="M99" t="n">
        <v>0</v>
      </c>
      <c r="N99" t="n">
        <v>0</v>
      </c>
      <c r="O99" t="n">
        <v>0</v>
      </c>
      <c r="P99" t="n">
        <v>0</v>
      </c>
      <c r="Q99" t="n">
        <v>0</v>
      </c>
      <c r="R99" t="n">
        <v>0</v>
      </c>
      <c r="S99" t="n">
        <v>0</v>
      </c>
      <c r="T99" t="n">
        <v>0</v>
      </c>
      <c r="U99" s="2" t="inlineStr"/>
    </row>
    <row r="100" ht="15" customHeight="1">
      <c r="A100" t="inlineStr">
        <is>
          <t>A 15572-2024</t>
        </is>
      </c>
      <c r="B100" t="inlineStr">
        <is>
          <t>avverkningsanmälan</t>
        </is>
      </c>
      <c r="C100" t="inlineStr">
        <is>
          <t>Föryngringsavverkning</t>
        </is>
      </c>
      <c r="D100" s="1" t="n">
        <v>45401</v>
      </c>
      <c r="E100" s="1" t="n">
        <v>46217</v>
      </c>
      <c r="F100" t="inlineStr">
        <is>
          <t>SÖDERMANLANDS LÄN</t>
        </is>
      </c>
      <c r="G100" t="inlineStr">
        <is>
          <t>STRÄNGNÄS</t>
        </is>
      </c>
      <c r="I100" t="n">
        <v>7.4</v>
      </c>
      <c r="J100" t="n">
        <v>0</v>
      </c>
      <c r="K100" t="n">
        <v>0</v>
      </c>
      <c r="L100" t="n">
        <v>0</v>
      </c>
      <c r="M100" t="n">
        <v>0</v>
      </c>
      <c r="N100" t="n">
        <v>0</v>
      </c>
      <c r="O100" t="n">
        <v>0</v>
      </c>
      <c r="P100" t="n">
        <v>0</v>
      </c>
      <c r="Q100" t="n">
        <v>0</v>
      </c>
      <c r="R100" t="n">
        <v>0</v>
      </c>
      <c r="S100" t="n">
        <v>0</v>
      </c>
      <c r="T100" t="n">
        <v>0</v>
      </c>
      <c r="U100" s="2" t="inlineStr"/>
    </row>
    <row r="101" ht="15" customHeight="1">
      <c r="A101" t="inlineStr">
        <is>
          <t>A 20181-2024</t>
        </is>
      </c>
      <c r="B101" t="inlineStr">
        <is>
          <t>avverkningsanmälan</t>
        </is>
      </c>
      <c r="C101" t="inlineStr">
        <is>
          <t>Avverkning för annat ändamål</t>
        </is>
      </c>
      <c r="D101" s="1" t="n">
        <v>45434</v>
      </c>
      <c r="E101" s="1" t="n">
        <v>46217</v>
      </c>
      <c r="F101" t="inlineStr">
        <is>
          <t>SÖDERMANLANDS LÄN</t>
        </is>
      </c>
      <c r="G101" t="inlineStr">
        <is>
          <t>STRÄNGNÄS</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12792-2024</t>
        </is>
      </c>
      <c r="B102" t="inlineStr">
        <is>
          <t>avverkningsanmälan</t>
        </is>
      </c>
      <c r="C102" t="inlineStr">
        <is>
          <t>Föryngringsavverkning</t>
        </is>
      </c>
      <c r="D102" s="1" t="n">
        <v>45384</v>
      </c>
      <c r="E102" s="1" t="n">
        <v>46217</v>
      </c>
      <c r="F102" t="inlineStr">
        <is>
          <t>SÖDERMANLANDS LÄN</t>
        </is>
      </c>
      <c r="G102" t="inlineStr">
        <is>
          <t>STRÄNGNÄS</t>
        </is>
      </c>
      <c r="I102" t="n">
        <v>19.1</v>
      </c>
      <c r="J102" t="n">
        <v>0</v>
      </c>
      <c r="K102" t="n">
        <v>0</v>
      </c>
      <c r="L102" t="n">
        <v>0</v>
      </c>
      <c r="M102" t="n">
        <v>0</v>
      </c>
      <c r="N102" t="n">
        <v>0</v>
      </c>
      <c r="O102" t="n">
        <v>0</v>
      </c>
      <c r="P102" t="n">
        <v>0</v>
      </c>
      <c r="Q102" t="n">
        <v>0</v>
      </c>
      <c r="R102" t="n">
        <v>0</v>
      </c>
      <c r="S102" t="n">
        <v>0</v>
      </c>
      <c r="T102" t="n">
        <v>0</v>
      </c>
      <c r="U102" s="2" t="inlineStr"/>
    </row>
    <row r="103" ht="15" customHeight="1">
      <c r="A103" t="inlineStr">
        <is>
          <t>A 14034-2024</t>
        </is>
      </c>
      <c r="B103" t="inlineStr">
        <is>
          <t>avverkningsanmälan</t>
        </is>
      </c>
      <c r="C103" t="inlineStr">
        <is>
          <t>Föryngringsavverkning</t>
        </is>
      </c>
      <c r="D103" s="1" t="n">
        <v>45392</v>
      </c>
      <c r="E103" s="1" t="n">
        <v>46217</v>
      </c>
      <c r="F103" t="inlineStr">
        <is>
          <t>SÖDERMANLANDS LÄN</t>
        </is>
      </c>
      <c r="G103" t="inlineStr">
        <is>
          <t>STRÄNGNÄS</t>
        </is>
      </c>
      <c r="I103" t="n">
        <v>7</v>
      </c>
      <c r="J103" t="n">
        <v>0</v>
      </c>
      <c r="K103" t="n">
        <v>0</v>
      </c>
      <c r="L103" t="n">
        <v>0</v>
      </c>
      <c r="M103" t="n">
        <v>0</v>
      </c>
      <c r="N103" t="n">
        <v>0</v>
      </c>
      <c r="O103" t="n">
        <v>0</v>
      </c>
      <c r="P103" t="n">
        <v>0</v>
      </c>
      <c r="Q103" t="n">
        <v>0</v>
      </c>
      <c r="R103" t="n">
        <v>0</v>
      </c>
      <c r="S103" t="n">
        <v>0</v>
      </c>
      <c r="T103" t="n">
        <v>0</v>
      </c>
      <c r="U103" s="2" t="inlineStr"/>
    </row>
    <row r="104" ht="15" customHeight="1">
      <c r="A104" t="inlineStr">
        <is>
          <t>A 42476-2022</t>
        </is>
      </c>
      <c r="B104" t="inlineStr">
        <is>
          <t>avverkningsanmälan</t>
        </is>
      </c>
      <c r="C104" t="inlineStr">
        <is>
          <t>Föryngringsavverkning</t>
        </is>
      </c>
      <c r="D104" s="1" t="n">
        <v>44831</v>
      </c>
      <c r="E104" s="1" t="n">
        <v>46217</v>
      </c>
      <c r="F104" t="inlineStr">
        <is>
          <t>SÖDERMANLANDS LÄN</t>
        </is>
      </c>
      <c r="G104" t="inlineStr">
        <is>
          <t>STRÄNGNÄS</t>
        </is>
      </c>
      <c r="I104" t="n">
        <v>5.5</v>
      </c>
      <c r="J104" t="n">
        <v>0</v>
      </c>
      <c r="K104" t="n">
        <v>0</v>
      </c>
      <c r="L104" t="n">
        <v>0</v>
      </c>
      <c r="M104" t="n">
        <v>0</v>
      </c>
      <c r="N104" t="n">
        <v>0</v>
      </c>
      <c r="O104" t="n">
        <v>0</v>
      </c>
      <c r="P104" t="n">
        <v>0</v>
      </c>
      <c r="Q104" t="n">
        <v>0</v>
      </c>
      <c r="R104" t="n">
        <v>0</v>
      </c>
      <c r="S104" t="n">
        <v>0</v>
      </c>
      <c r="T104" t="n">
        <v>0</v>
      </c>
      <c r="U104" s="2" t="inlineStr"/>
    </row>
    <row r="105" ht="15" customHeight="1">
      <c r="A105" t="inlineStr">
        <is>
          <t>A 42503-2022</t>
        </is>
      </c>
      <c r="B105" t="inlineStr">
        <is>
          <t>avverkningsanmälan</t>
        </is>
      </c>
      <c r="C105" t="inlineStr">
        <is>
          <t>Föryngringsavverkning</t>
        </is>
      </c>
      <c r="D105" s="1" t="n">
        <v>44831</v>
      </c>
      <c r="E105" s="1" t="n">
        <v>46217</v>
      </c>
      <c r="F105" t="inlineStr">
        <is>
          <t>SÖDERMANLANDS LÄN</t>
        </is>
      </c>
      <c r="G105" t="inlineStr">
        <is>
          <t>STRÄNGNÄS</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18860-2023</t>
        </is>
      </c>
      <c r="B106" t="inlineStr">
        <is>
          <t>avverkningsanmälan</t>
        </is>
      </c>
      <c r="C106" t="inlineStr">
        <is>
          <t>Föryngringsavverkning</t>
        </is>
      </c>
      <c r="D106" s="1" t="n">
        <v>45044</v>
      </c>
      <c r="E106" s="1" t="n">
        <v>46217</v>
      </c>
      <c r="F106" t="inlineStr">
        <is>
          <t>SÖDERMANLANDS LÄN</t>
        </is>
      </c>
      <c r="G106" t="inlineStr">
        <is>
          <t>STRÄNGNÄS</t>
        </is>
      </c>
      <c r="I106" t="n">
        <v>2.5</v>
      </c>
      <c r="J106" t="n">
        <v>0</v>
      </c>
      <c r="K106" t="n">
        <v>0</v>
      </c>
      <c r="L106" t="n">
        <v>0</v>
      </c>
      <c r="M106" t="n">
        <v>0</v>
      </c>
      <c r="N106" t="n">
        <v>0</v>
      </c>
      <c r="O106" t="n">
        <v>0</v>
      </c>
      <c r="P106" t="n">
        <v>0</v>
      </c>
      <c r="Q106" t="n">
        <v>0</v>
      </c>
      <c r="R106" t="n">
        <v>0</v>
      </c>
      <c r="S106" t="n">
        <v>0</v>
      </c>
      <c r="T106" t="n">
        <v>0</v>
      </c>
      <c r="U106" s="2" t="inlineStr"/>
    </row>
    <row r="107" ht="15" customHeight="1">
      <c r="A107" t="inlineStr">
        <is>
          <t>A 18865-2023</t>
        </is>
      </c>
      <c r="B107" t="inlineStr">
        <is>
          <t>avverkningsanmälan</t>
        </is>
      </c>
      <c r="C107" t="inlineStr">
        <is>
          <t>Föryngringsavverkning</t>
        </is>
      </c>
      <c r="D107" s="1" t="n">
        <v>45044</v>
      </c>
      <c r="E107" s="1" t="n">
        <v>46217</v>
      </c>
      <c r="F107" t="inlineStr">
        <is>
          <t>SÖDERMANLANDS LÄN</t>
        </is>
      </c>
      <c r="G107" t="inlineStr">
        <is>
          <t>STRÄNGNÄS</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23225-2023</t>
        </is>
      </c>
      <c r="B108" t="inlineStr">
        <is>
          <t>avverkningsanmälan</t>
        </is>
      </c>
      <c r="C108" t="inlineStr">
        <is>
          <t>Föryngringsavverkning</t>
        </is>
      </c>
      <c r="D108" s="1" t="n">
        <v>45075</v>
      </c>
      <c r="E108" s="1" t="n">
        <v>46217</v>
      </c>
      <c r="F108" t="inlineStr">
        <is>
          <t>SÖDERMANLANDS LÄN</t>
        </is>
      </c>
      <c r="G108" t="inlineStr">
        <is>
          <t>STRÄNGNÄS</t>
        </is>
      </c>
      <c r="I108" t="n">
        <v>7.1</v>
      </c>
      <c r="J108" t="n">
        <v>0</v>
      </c>
      <c r="K108" t="n">
        <v>0</v>
      </c>
      <c r="L108" t="n">
        <v>0</v>
      </c>
      <c r="M108" t="n">
        <v>0</v>
      </c>
      <c r="N108" t="n">
        <v>0</v>
      </c>
      <c r="O108" t="n">
        <v>0</v>
      </c>
      <c r="P108" t="n">
        <v>0</v>
      </c>
      <c r="Q108" t="n">
        <v>0</v>
      </c>
      <c r="R108" t="n">
        <v>0</v>
      </c>
      <c r="S108" t="n">
        <v>0</v>
      </c>
      <c r="T108" t="n">
        <v>0</v>
      </c>
      <c r="U108" s="2" t="inlineStr"/>
    </row>
    <row r="109" ht="15" customHeight="1">
      <c r="A109" t="inlineStr">
        <is>
          <t>A 888-2023</t>
        </is>
      </c>
      <c r="B109" t="inlineStr">
        <is>
          <t>avverkningsanmälan</t>
        </is>
      </c>
      <c r="C109" t="inlineStr">
        <is>
          <t>Föryngringsavverkning</t>
        </is>
      </c>
      <c r="D109" s="1" t="n">
        <v>44931</v>
      </c>
      <c r="E109" s="1" t="n">
        <v>46217</v>
      </c>
      <c r="F109" t="inlineStr">
        <is>
          <t>SÖDERMANLANDS LÄN</t>
        </is>
      </c>
      <c r="G109" t="inlineStr">
        <is>
          <t>STRÄNGNÄS</t>
        </is>
      </c>
      <c r="I109" t="n">
        <v>2</v>
      </c>
      <c r="J109" t="n">
        <v>0</v>
      </c>
      <c r="K109" t="n">
        <v>0</v>
      </c>
      <c r="L109" t="n">
        <v>0</v>
      </c>
      <c r="M109" t="n">
        <v>0</v>
      </c>
      <c r="N109" t="n">
        <v>0</v>
      </c>
      <c r="O109" t="n">
        <v>0</v>
      </c>
      <c r="P109" t="n">
        <v>0</v>
      </c>
      <c r="Q109" t="n">
        <v>0</v>
      </c>
      <c r="R109" t="n">
        <v>0</v>
      </c>
      <c r="S109" t="n">
        <v>0</v>
      </c>
      <c r="T109" t="n">
        <v>0</v>
      </c>
      <c r="U109" s="2" t="inlineStr"/>
    </row>
    <row r="110" ht="15" customHeight="1">
      <c r="A110" t="inlineStr">
        <is>
          <t>A 52773-2023</t>
        </is>
      </c>
      <c r="B110" t="inlineStr">
        <is>
          <t>avverkningsanmälan</t>
        </is>
      </c>
      <c r="C110" t="inlineStr">
        <is>
          <t>Föryngringsavverkning</t>
        </is>
      </c>
      <c r="D110" s="1" t="n">
        <v>45219</v>
      </c>
      <c r="E110" s="1" t="n">
        <v>46217</v>
      </c>
      <c r="F110" t="inlineStr">
        <is>
          <t>SÖDERMANLANDS LÄN</t>
        </is>
      </c>
      <c r="G110" t="inlineStr">
        <is>
          <t>STRÄNGNÄS</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52840-2023</t>
        </is>
      </c>
      <c r="B111" t="inlineStr">
        <is>
          <t>avverkningsanmälan</t>
        </is>
      </c>
      <c r="C111" t="inlineStr">
        <is>
          <t>Föryngringsavverkning</t>
        </is>
      </c>
      <c r="D111" s="1" t="n">
        <v>45226</v>
      </c>
      <c r="E111" s="1" t="n">
        <v>46217</v>
      </c>
      <c r="F111" t="inlineStr">
        <is>
          <t>SÖDERMANLANDS LÄN</t>
        </is>
      </c>
      <c r="G111" t="inlineStr">
        <is>
          <t>STRÄNGNÄS</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59060-2022</t>
        </is>
      </c>
      <c r="B112" t="inlineStr">
        <is>
          <t>avverkningsanmälan</t>
        </is>
      </c>
      <c r="C112" t="inlineStr">
        <is>
          <t>Föryngringsavverkning</t>
        </is>
      </c>
      <c r="D112" s="1" t="n">
        <v>44904</v>
      </c>
      <c r="E112" s="1" t="n">
        <v>46217</v>
      </c>
      <c r="F112" t="inlineStr">
        <is>
          <t>SÖDERMANLANDS LÄN</t>
        </is>
      </c>
      <c r="G112" t="inlineStr">
        <is>
          <t>STRÄNGNÄS</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54598-2022</t>
        </is>
      </c>
      <c r="B113" t="inlineStr">
        <is>
          <t>avverkningsanmälan</t>
        </is>
      </c>
      <c r="C113" t="inlineStr">
        <is>
          <t>Föryngringsavverkning</t>
        </is>
      </c>
      <c r="D113" s="1" t="n">
        <v>44881</v>
      </c>
      <c r="E113" s="1" t="n">
        <v>46217</v>
      </c>
      <c r="F113" t="inlineStr">
        <is>
          <t>SÖDERMANLANDS LÄN</t>
        </is>
      </c>
      <c r="G113" t="inlineStr">
        <is>
          <t>STRÄNGNÄS</t>
        </is>
      </c>
      <c r="I113" t="n">
        <v>5.4</v>
      </c>
      <c r="J113" t="n">
        <v>0</v>
      </c>
      <c r="K113" t="n">
        <v>0</v>
      </c>
      <c r="L113" t="n">
        <v>0</v>
      </c>
      <c r="M113" t="n">
        <v>0</v>
      </c>
      <c r="N113" t="n">
        <v>0</v>
      </c>
      <c r="O113" t="n">
        <v>0</v>
      </c>
      <c r="P113" t="n">
        <v>0</v>
      </c>
      <c r="Q113" t="n">
        <v>0</v>
      </c>
      <c r="R113" t="n">
        <v>0</v>
      </c>
      <c r="S113" t="n">
        <v>0</v>
      </c>
      <c r="T113" t="n">
        <v>0</v>
      </c>
      <c r="U113" s="2" t="inlineStr"/>
    </row>
    <row r="114" ht="15" customHeight="1">
      <c r="A114" t="inlineStr">
        <is>
          <t>A 3037-2022</t>
        </is>
      </c>
      <c r="B114" t="inlineStr">
        <is>
          <t>avverkningsanmälan</t>
        </is>
      </c>
      <c r="C114" t="inlineStr">
        <is>
          <t>Föryngringsavverkning</t>
        </is>
      </c>
      <c r="D114" s="1" t="n">
        <v>44581</v>
      </c>
      <c r="E114" s="1" t="n">
        <v>46217</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57048-2021</t>
        </is>
      </c>
      <c r="B115" t="inlineStr">
        <is>
          <t>avverkningsanmälan</t>
        </is>
      </c>
      <c r="C115" t="inlineStr">
        <is>
          <t>Föryngringsavverkning</t>
        </is>
      </c>
      <c r="D115" s="1" t="n">
        <v>44481</v>
      </c>
      <c r="E115" s="1" t="n">
        <v>46217</v>
      </c>
      <c r="F115" t="inlineStr">
        <is>
          <t>SÖDERMANLANDS LÄN</t>
        </is>
      </c>
      <c r="G115" t="inlineStr">
        <is>
          <t>STRÄNGNÄS</t>
        </is>
      </c>
      <c r="I115" t="n">
        <v>9</v>
      </c>
      <c r="J115" t="n">
        <v>0</v>
      </c>
      <c r="K115" t="n">
        <v>0</v>
      </c>
      <c r="L115" t="n">
        <v>0</v>
      </c>
      <c r="M115" t="n">
        <v>0</v>
      </c>
      <c r="N115" t="n">
        <v>0</v>
      </c>
      <c r="O115" t="n">
        <v>0</v>
      </c>
      <c r="P115" t="n">
        <v>0</v>
      </c>
      <c r="Q115" t="n">
        <v>0</v>
      </c>
      <c r="R115" t="n">
        <v>0</v>
      </c>
      <c r="S115" t="n">
        <v>0</v>
      </c>
      <c r="T115" t="n">
        <v>0</v>
      </c>
      <c r="U115" s="2" t="inlineStr"/>
    </row>
    <row r="116" ht="15" customHeight="1">
      <c r="A116" t="inlineStr">
        <is>
          <t>A 243-2023</t>
        </is>
      </c>
      <c r="B116" t="inlineStr">
        <is>
          <t>avverkningsanmälan</t>
        </is>
      </c>
      <c r="C116" t="inlineStr">
        <is>
          <t>Föryngringsavverkning</t>
        </is>
      </c>
      <c r="D116" s="1" t="n">
        <v>44928</v>
      </c>
      <c r="E116" s="1" t="n">
        <v>46217</v>
      </c>
      <c r="F116" t="inlineStr">
        <is>
          <t>SÖDERMANLANDS LÄN</t>
        </is>
      </c>
      <c r="G116" t="inlineStr">
        <is>
          <t>STRÄNGNÄS</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63732-2021</t>
        </is>
      </c>
      <c r="B117" t="inlineStr">
        <is>
          <t>avverkningsanmälan</t>
        </is>
      </c>
      <c r="C117" t="inlineStr">
        <is>
          <t>Föryngringsavverkning</t>
        </is>
      </c>
      <c r="D117" s="1" t="n">
        <v>44508</v>
      </c>
      <c r="E117" s="1" t="n">
        <v>46217</v>
      </c>
      <c r="F117" t="inlineStr">
        <is>
          <t>SÖDERMANLANDS LÄN</t>
        </is>
      </c>
      <c r="G117" t="inlineStr">
        <is>
          <t>STRÄNGNÄS</t>
        </is>
      </c>
      <c r="I117" t="n">
        <v>6.1</v>
      </c>
      <c r="J117" t="n">
        <v>0</v>
      </c>
      <c r="K117" t="n">
        <v>0</v>
      </c>
      <c r="L117" t="n">
        <v>0</v>
      </c>
      <c r="M117" t="n">
        <v>0</v>
      </c>
      <c r="N117" t="n">
        <v>0</v>
      </c>
      <c r="O117" t="n">
        <v>0</v>
      </c>
      <c r="P117" t="n">
        <v>0</v>
      </c>
      <c r="Q117" t="n">
        <v>0</v>
      </c>
      <c r="R117" t="n">
        <v>0</v>
      </c>
      <c r="S117" t="n">
        <v>0</v>
      </c>
      <c r="T117" t="n">
        <v>0</v>
      </c>
      <c r="U117" s="2" t="inlineStr"/>
    </row>
    <row r="118" ht="15" customHeight="1">
      <c r="A118" t="inlineStr">
        <is>
          <t>A 16414-2022</t>
        </is>
      </c>
      <c r="B118" t="inlineStr">
        <is>
          <t>avverkningsanmälan</t>
        </is>
      </c>
      <c r="C118" t="inlineStr">
        <is>
          <t>Föryngringsavverkning</t>
        </is>
      </c>
      <c r="D118" s="1" t="n">
        <v>44671</v>
      </c>
      <c r="E118" s="1" t="n">
        <v>46217</v>
      </c>
      <c r="F118" t="inlineStr">
        <is>
          <t>SÖDERMANLANDS LÄN</t>
        </is>
      </c>
      <c r="G118" t="inlineStr">
        <is>
          <t>STRÄNGNÄS</t>
        </is>
      </c>
      <c r="H118" t="inlineStr">
        <is>
          <t>Övriga Aktiebolag</t>
        </is>
      </c>
      <c r="I118" t="n">
        <v>3.6</v>
      </c>
      <c r="J118" t="n">
        <v>0</v>
      </c>
      <c r="K118" t="n">
        <v>0</v>
      </c>
      <c r="L118" t="n">
        <v>0</v>
      </c>
      <c r="M118" t="n">
        <v>0</v>
      </c>
      <c r="N118" t="n">
        <v>0</v>
      </c>
      <c r="O118" t="n">
        <v>0</v>
      </c>
      <c r="P118" t="n">
        <v>0</v>
      </c>
      <c r="Q118" t="n">
        <v>0</v>
      </c>
      <c r="R118" t="n">
        <v>0</v>
      </c>
      <c r="S118" t="n">
        <v>0</v>
      </c>
      <c r="T118" t="n">
        <v>0</v>
      </c>
      <c r="U118" s="2" t="inlineStr"/>
    </row>
    <row r="119" ht="15" customHeight="1">
      <c r="A119" t="inlineStr">
        <is>
          <t>A 61567-2024</t>
        </is>
      </c>
      <c r="B119" t="inlineStr">
        <is>
          <t>avverkningsanmälan</t>
        </is>
      </c>
      <c r="C119" t="inlineStr">
        <is>
          <t>Avverkning för annat ändamål</t>
        </is>
      </c>
      <c r="D119" s="1" t="n">
        <v>45646</v>
      </c>
      <c r="E119" s="1" t="n">
        <v>46217</v>
      </c>
      <c r="F119" t="inlineStr">
        <is>
          <t>SÖDERMANLANDS LÄN</t>
        </is>
      </c>
      <c r="G119" t="inlineStr">
        <is>
          <t>STRÄNGNÄS</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64355-2023</t>
        </is>
      </c>
      <c r="B120" t="inlineStr">
        <is>
          <t>avverkningsanmälan</t>
        </is>
      </c>
      <c r="C120" t="inlineStr">
        <is>
          <t>Föryngringsavverkning</t>
        </is>
      </c>
      <c r="D120" s="1" t="n">
        <v>45280</v>
      </c>
      <c r="E120" s="1" t="n">
        <v>46217</v>
      </c>
      <c r="F120" t="inlineStr">
        <is>
          <t>SÖDERMANLANDS LÄN</t>
        </is>
      </c>
      <c r="G120" t="inlineStr">
        <is>
          <t>STRÄNGNÄS</t>
        </is>
      </c>
      <c r="I120" t="n">
        <v>5.9</v>
      </c>
      <c r="J120" t="n">
        <v>0</v>
      </c>
      <c r="K120" t="n">
        <v>0</v>
      </c>
      <c r="L120" t="n">
        <v>0</v>
      </c>
      <c r="M120" t="n">
        <v>0</v>
      </c>
      <c r="N120" t="n">
        <v>0</v>
      </c>
      <c r="O120" t="n">
        <v>0</v>
      </c>
      <c r="P120" t="n">
        <v>0</v>
      </c>
      <c r="Q120" t="n">
        <v>0</v>
      </c>
      <c r="R120" t="n">
        <v>0</v>
      </c>
      <c r="S120" t="n">
        <v>0</v>
      </c>
      <c r="T120" t="n">
        <v>0</v>
      </c>
      <c r="U120" s="2" t="inlineStr"/>
    </row>
    <row r="121" ht="15" customHeight="1">
      <c r="A121" t="inlineStr">
        <is>
          <t>A 9511-2022</t>
        </is>
      </c>
      <c r="B121" t="inlineStr">
        <is>
          <t>avverkningsanmälan</t>
        </is>
      </c>
      <c r="C121" t="inlineStr">
        <is>
          <t>Föryngringsavverkning</t>
        </is>
      </c>
      <c r="D121" s="1" t="n">
        <v>44616</v>
      </c>
      <c r="E121" s="1" t="n">
        <v>46217</v>
      </c>
      <c r="F121" t="inlineStr">
        <is>
          <t>SÖDERMANLANDS LÄN</t>
        </is>
      </c>
      <c r="G121" t="inlineStr">
        <is>
          <t>STRÄNGNÄS</t>
        </is>
      </c>
      <c r="I121" t="n">
        <v>5.3</v>
      </c>
      <c r="J121" t="n">
        <v>0</v>
      </c>
      <c r="K121" t="n">
        <v>0</v>
      </c>
      <c r="L121" t="n">
        <v>0</v>
      </c>
      <c r="M121" t="n">
        <v>0</v>
      </c>
      <c r="N121" t="n">
        <v>0</v>
      </c>
      <c r="O121" t="n">
        <v>0</v>
      </c>
      <c r="P121" t="n">
        <v>0</v>
      </c>
      <c r="Q121" t="n">
        <v>0</v>
      </c>
      <c r="R121" t="n">
        <v>0</v>
      </c>
      <c r="S121" t="n">
        <v>0</v>
      </c>
      <c r="T121" t="n">
        <v>0</v>
      </c>
      <c r="U121" s="2" t="inlineStr"/>
    </row>
    <row r="122" ht="15" customHeight="1">
      <c r="A122" t="inlineStr">
        <is>
          <t>A 5458-2025</t>
        </is>
      </c>
      <c r="B122" t="inlineStr">
        <is>
          <t>avverkningsanmälan</t>
        </is>
      </c>
      <c r="C122" t="inlineStr">
        <is>
          <t>Föryngringsavverkning</t>
        </is>
      </c>
      <c r="D122" s="1" t="n">
        <v>45692</v>
      </c>
      <c r="E122" s="1" t="n">
        <v>46217</v>
      </c>
      <c r="F122" t="inlineStr">
        <is>
          <t>SÖDERMANLANDS LÄN</t>
        </is>
      </c>
      <c r="G122" t="inlineStr">
        <is>
          <t>STRÄNGNÄS</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35495-2023</t>
        </is>
      </c>
      <c r="B123" t="inlineStr">
        <is>
          <t>avverkningsanmälan</t>
        </is>
      </c>
      <c r="C123" t="inlineStr">
        <is>
          <t>Föryngringsavverkning</t>
        </is>
      </c>
      <c r="D123" s="1" t="n">
        <v>45146</v>
      </c>
      <c r="E123" s="1" t="n">
        <v>46217</v>
      </c>
      <c r="F123" t="inlineStr">
        <is>
          <t>SÖDERMANLANDS LÄN</t>
        </is>
      </c>
      <c r="G123" t="inlineStr">
        <is>
          <t>STRÄNGNÄS</t>
        </is>
      </c>
      <c r="I123" t="n">
        <v>7.4</v>
      </c>
      <c r="J123" t="n">
        <v>0</v>
      </c>
      <c r="K123" t="n">
        <v>0</v>
      </c>
      <c r="L123" t="n">
        <v>0</v>
      </c>
      <c r="M123" t="n">
        <v>0</v>
      </c>
      <c r="N123" t="n">
        <v>0</v>
      </c>
      <c r="O123" t="n">
        <v>0</v>
      </c>
      <c r="P123" t="n">
        <v>0</v>
      </c>
      <c r="Q123" t="n">
        <v>0</v>
      </c>
      <c r="R123" t="n">
        <v>0</v>
      </c>
      <c r="S123" t="n">
        <v>0</v>
      </c>
      <c r="T123" t="n">
        <v>0</v>
      </c>
      <c r="U123" s="2" t="inlineStr"/>
    </row>
    <row r="124" ht="15" customHeight="1">
      <c r="A124" t="inlineStr">
        <is>
          <t>A 9625-2022</t>
        </is>
      </c>
      <c r="B124" t="inlineStr">
        <is>
          <t>avverkningsanmälan</t>
        </is>
      </c>
      <c r="C124" t="inlineStr">
        <is>
          <t>Föryngringsavverkning</t>
        </is>
      </c>
      <c r="D124" s="1" t="n">
        <v>44617</v>
      </c>
      <c r="E124" s="1" t="n">
        <v>46217</v>
      </c>
      <c r="F124" t="inlineStr">
        <is>
          <t>SÖDERMANLANDS LÄN</t>
        </is>
      </c>
      <c r="G124" t="inlineStr">
        <is>
          <t>STRÄNGNÄS</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1305-2023</t>
        </is>
      </c>
      <c r="B125" t="inlineStr">
        <is>
          <t>avverkningsanmälan</t>
        </is>
      </c>
      <c r="C125" t="inlineStr">
        <is>
          <t>Föryngringsavverkning</t>
        </is>
      </c>
      <c r="D125" s="1" t="n">
        <v>44936</v>
      </c>
      <c r="E125" s="1" t="n">
        <v>46217</v>
      </c>
      <c r="F125" t="inlineStr">
        <is>
          <t>SÖDERMANLANDS LÄN</t>
        </is>
      </c>
      <c r="G125" t="inlineStr">
        <is>
          <t>STRÄNGNÄS</t>
        </is>
      </c>
      <c r="I125" t="n">
        <v>6</v>
      </c>
      <c r="J125" t="n">
        <v>0</v>
      </c>
      <c r="K125" t="n">
        <v>0</v>
      </c>
      <c r="L125" t="n">
        <v>0</v>
      </c>
      <c r="M125" t="n">
        <v>0</v>
      </c>
      <c r="N125" t="n">
        <v>0</v>
      </c>
      <c r="O125" t="n">
        <v>0</v>
      </c>
      <c r="P125" t="n">
        <v>0</v>
      </c>
      <c r="Q125" t="n">
        <v>0</v>
      </c>
      <c r="R125" t="n">
        <v>0</v>
      </c>
      <c r="S125" t="n">
        <v>0</v>
      </c>
      <c r="T125" t="n">
        <v>0</v>
      </c>
      <c r="U125" s="2" t="inlineStr"/>
    </row>
    <row r="126" ht="15" customHeight="1">
      <c r="A126" t="inlineStr">
        <is>
          <t>A 15397-2022</t>
        </is>
      </c>
      <c r="B126" t="inlineStr">
        <is>
          <t>avverkningsanmälan</t>
        </is>
      </c>
      <c r="C126" t="inlineStr">
        <is>
          <t>Föryngringsavverkning</t>
        </is>
      </c>
      <c r="D126" s="1" t="n">
        <v>44659</v>
      </c>
      <c r="E126" s="1" t="n">
        <v>46217</v>
      </c>
      <c r="F126" t="inlineStr">
        <is>
          <t>SÖDERMANLANDS LÄN</t>
        </is>
      </c>
      <c r="G126" t="inlineStr">
        <is>
          <t>STRÄNGNÄS</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48823-2023</t>
        </is>
      </c>
      <c r="B127" t="inlineStr">
        <is>
          <t>avverkningsanmälan</t>
        </is>
      </c>
      <c r="C127" t="inlineStr">
        <is>
          <t>Avverkning för att bevara och utveckla /försöksver</t>
        </is>
      </c>
      <c r="D127" s="1" t="n">
        <v>45209</v>
      </c>
      <c r="E127" s="1" t="n">
        <v>46217</v>
      </c>
      <c r="F127" t="inlineStr">
        <is>
          <t>SÖDERMANLANDS LÄN</t>
        </is>
      </c>
      <c r="G127" t="inlineStr">
        <is>
          <t>STRÄNGNÄS</t>
        </is>
      </c>
      <c r="H127" t="inlineStr">
        <is>
          <t>Sveaskog</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48886-2023</t>
        </is>
      </c>
      <c r="B128" t="inlineStr">
        <is>
          <t>avverkningsanmälan</t>
        </is>
      </c>
      <c r="C128" t="inlineStr">
        <is>
          <t>Föryngringsavverkning</t>
        </is>
      </c>
      <c r="D128" s="1" t="n">
        <v>45209</v>
      </c>
      <c r="E128" s="1" t="n">
        <v>46217</v>
      </c>
      <c r="F128" t="inlineStr">
        <is>
          <t>SÖDERMANLANDS LÄN</t>
        </is>
      </c>
      <c r="G128" t="inlineStr">
        <is>
          <t>STRÄNGNÄS</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43412-2021</t>
        </is>
      </c>
      <c r="B129" t="inlineStr">
        <is>
          <t>avverkningsanmälan</t>
        </is>
      </c>
      <c r="C129" t="inlineStr">
        <is>
          <t>Föryngringsavverkning</t>
        </is>
      </c>
      <c r="D129" s="1" t="n">
        <v>44432</v>
      </c>
      <c r="E129" s="1" t="n">
        <v>46217</v>
      </c>
      <c r="F129" t="inlineStr">
        <is>
          <t>SÖDERMANLANDS LÄN</t>
        </is>
      </c>
      <c r="G129" t="inlineStr">
        <is>
          <t>STRÄNGNÄS</t>
        </is>
      </c>
      <c r="I129" t="n">
        <v>10</v>
      </c>
      <c r="J129" t="n">
        <v>0</v>
      </c>
      <c r="K129" t="n">
        <v>0</v>
      </c>
      <c r="L129" t="n">
        <v>0</v>
      </c>
      <c r="M129" t="n">
        <v>0</v>
      </c>
      <c r="N129" t="n">
        <v>0</v>
      </c>
      <c r="O129" t="n">
        <v>0</v>
      </c>
      <c r="P129" t="n">
        <v>0</v>
      </c>
      <c r="Q129" t="n">
        <v>0</v>
      </c>
      <c r="R129" t="n">
        <v>0</v>
      </c>
      <c r="S129" t="n">
        <v>0</v>
      </c>
      <c r="T129" t="n">
        <v>0</v>
      </c>
      <c r="U129" s="2" t="inlineStr"/>
    </row>
    <row r="130" ht="15" customHeight="1">
      <c r="A130" t="inlineStr">
        <is>
          <t>A 54656-2023</t>
        </is>
      </c>
      <c r="B130" t="inlineStr">
        <is>
          <t>avverkningsanmälan</t>
        </is>
      </c>
      <c r="C130" t="inlineStr">
        <is>
          <t>Avverkning för att bevara och utveckla /försöksver</t>
        </is>
      </c>
      <c r="D130" s="1" t="n">
        <v>45235</v>
      </c>
      <c r="E130" s="1" t="n">
        <v>46217</v>
      </c>
      <c r="F130" t="inlineStr">
        <is>
          <t>SÖDERMANLANDS LÄN</t>
        </is>
      </c>
      <c r="G130" t="inlineStr">
        <is>
          <t>STRÄNGNÄS</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39448-2024</t>
        </is>
      </c>
      <c r="B131" t="inlineStr">
        <is>
          <t>avverkningsanmälan</t>
        </is>
      </c>
      <c r="C131" t="inlineStr">
        <is>
          <t>Föryngringsavverkning</t>
        </is>
      </c>
      <c r="D131" s="1" t="n">
        <v>45551</v>
      </c>
      <c r="E131" s="1" t="n">
        <v>46217</v>
      </c>
      <c r="F131" t="inlineStr">
        <is>
          <t>SÖDERMANLANDS LÄN</t>
        </is>
      </c>
      <c r="G131" t="inlineStr">
        <is>
          <t>STRÄNGNÄS</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12546-2025</t>
        </is>
      </c>
      <c r="B132" t="inlineStr">
        <is>
          <t>avverkningsanmälan</t>
        </is>
      </c>
      <c r="C132" t="inlineStr">
        <is>
          <t>Avverkning för annat ändamål</t>
        </is>
      </c>
      <c r="D132" s="1" t="n">
        <v>45730</v>
      </c>
      <c r="E132" s="1" t="n">
        <v>46217</v>
      </c>
      <c r="F132" t="inlineStr">
        <is>
          <t>SÖDERMANLANDS LÄN</t>
        </is>
      </c>
      <c r="G132" t="inlineStr">
        <is>
          <t>STRÄNGNÄS</t>
        </is>
      </c>
      <c r="I132" t="n">
        <v>9</v>
      </c>
      <c r="J132" t="n">
        <v>0</v>
      </c>
      <c r="K132" t="n">
        <v>0</v>
      </c>
      <c r="L132" t="n">
        <v>0</v>
      </c>
      <c r="M132" t="n">
        <v>0</v>
      </c>
      <c r="N132" t="n">
        <v>0</v>
      </c>
      <c r="O132" t="n">
        <v>0</v>
      </c>
      <c r="P132" t="n">
        <v>0</v>
      </c>
      <c r="Q132" t="n">
        <v>0</v>
      </c>
      <c r="R132" t="n">
        <v>0</v>
      </c>
      <c r="S132" t="n">
        <v>0</v>
      </c>
      <c r="T132" t="n">
        <v>0</v>
      </c>
      <c r="U132" s="2" t="inlineStr"/>
    </row>
    <row r="133" ht="15" customHeight="1">
      <c r="A133" t="inlineStr">
        <is>
          <t>A 36440-2025</t>
        </is>
      </c>
      <c r="B133" t="inlineStr">
        <is>
          <t>avverkningsanmälan</t>
        </is>
      </c>
      <c r="C133" t="inlineStr">
        <is>
          <t>Föryngringsavverkning</t>
        </is>
      </c>
      <c r="D133" s="1" t="n">
        <v>45869</v>
      </c>
      <c r="E133" s="1" t="n">
        <v>46217</v>
      </c>
      <c r="F133" t="inlineStr">
        <is>
          <t>SÖDERMANLANDS LÄN</t>
        </is>
      </c>
      <c r="G133" t="inlineStr">
        <is>
          <t>STRÄNGNÄS</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1117-2022</t>
        </is>
      </c>
      <c r="B134" t="inlineStr">
        <is>
          <t>avverkningsanmälan</t>
        </is>
      </c>
      <c r="C134" t="inlineStr">
        <is>
          <t>Föryngringsavverkning</t>
        </is>
      </c>
      <c r="D134" s="1" t="n">
        <v>44571</v>
      </c>
      <c r="E134" s="1" t="n">
        <v>46217</v>
      </c>
      <c r="F134" t="inlineStr">
        <is>
          <t>SÖDERMANLANDS LÄN</t>
        </is>
      </c>
      <c r="G134" t="inlineStr">
        <is>
          <t>STRÄNGNÄS</t>
        </is>
      </c>
      <c r="I134" t="n">
        <v>2.5</v>
      </c>
      <c r="J134" t="n">
        <v>0</v>
      </c>
      <c r="K134" t="n">
        <v>0</v>
      </c>
      <c r="L134" t="n">
        <v>0</v>
      </c>
      <c r="M134" t="n">
        <v>0</v>
      </c>
      <c r="N134" t="n">
        <v>0</v>
      </c>
      <c r="O134" t="n">
        <v>0</v>
      </c>
      <c r="P134" t="n">
        <v>0</v>
      </c>
      <c r="Q134" t="n">
        <v>0</v>
      </c>
      <c r="R134" t="n">
        <v>0</v>
      </c>
      <c r="S134" t="n">
        <v>0</v>
      </c>
      <c r="T134" t="n">
        <v>0</v>
      </c>
      <c r="U134" s="2" t="inlineStr"/>
    </row>
    <row r="135" ht="15" customHeight="1">
      <c r="A135" t="inlineStr">
        <is>
          <t>A 11690-2023</t>
        </is>
      </c>
      <c r="B135" t="inlineStr">
        <is>
          <t>avverkningsanmälan</t>
        </is>
      </c>
      <c r="C135" t="inlineStr">
        <is>
          <t>Föryngringsavverkning</t>
        </is>
      </c>
      <c r="D135" s="1" t="n">
        <v>44992</v>
      </c>
      <c r="E135" s="1" t="n">
        <v>46217</v>
      </c>
      <c r="F135" t="inlineStr">
        <is>
          <t>SÖDERMANLANDS LÄN</t>
        </is>
      </c>
      <c r="G135" t="inlineStr">
        <is>
          <t>STRÄNGNÄS</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3118-2023</t>
        </is>
      </c>
      <c r="B136" t="inlineStr">
        <is>
          <t>avverkningsanmälan</t>
        </is>
      </c>
      <c r="C136" t="inlineStr">
        <is>
          <t>Föryngringsavverkning</t>
        </is>
      </c>
      <c r="D136" s="1" t="n">
        <v>44946</v>
      </c>
      <c r="E136" s="1" t="n">
        <v>46217</v>
      </c>
      <c r="F136" t="inlineStr">
        <is>
          <t>SÖDERMANLANDS LÄN</t>
        </is>
      </c>
      <c r="G136" t="inlineStr">
        <is>
          <t>STRÄNGNÄS</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38198-2025</t>
        </is>
      </c>
      <c r="B137" t="inlineStr">
        <is>
          <t>avverkningsanmälan</t>
        </is>
      </c>
      <c r="C137" t="inlineStr">
        <is>
          <t>Föryngringsavverkning</t>
        </is>
      </c>
      <c r="D137" s="1" t="n">
        <v>45882</v>
      </c>
      <c r="E137" s="1" t="n">
        <v>46217</v>
      </c>
      <c r="F137" t="inlineStr">
        <is>
          <t>SÖDERMANLANDS LÄN</t>
        </is>
      </c>
      <c r="G137" t="inlineStr">
        <is>
          <t>STRÄNGNÄS</t>
        </is>
      </c>
      <c r="I137" t="n">
        <v>3.4</v>
      </c>
      <c r="J137" t="n">
        <v>0</v>
      </c>
      <c r="K137" t="n">
        <v>0</v>
      </c>
      <c r="L137" t="n">
        <v>0</v>
      </c>
      <c r="M137" t="n">
        <v>0</v>
      </c>
      <c r="N137" t="n">
        <v>0</v>
      </c>
      <c r="O137" t="n">
        <v>0</v>
      </c>
      <c r="P137" t="n">
        <v>0</v>
      </c>
      <c r="Q137" t="n">
        <v>0</v>
      </c>
      <c r="R137" t="n">
        <v>0</v>
      </c>
      <c r="S137" t="n">
        <v>0</v>
      </c>
      <c r="T137" t="n">
        <v>0</v>
      </c>
      <c r="U137" s="2" t="inlineStr"/>
    </row>
    <row r="138" ht="15" customHeight="1">
      <c r="A138" t="inlineStr">
        <is>
          <t>A 12123-2023</t>
        </is>
      </c>
      <c r="B138" t="inlineStr">
        <is>
          <t>avverkningsanmälan</t>
        </is>
      </c>
      <c r="C138" t="inlineStr">
        <is>
          <t>Föryngringsavverkning</t>
        </is>
      </c>
      <c r="D138" s="1" t="n">
        <v>44998</v>
      </c>
      <c r="E138" s="1" t="n">
        <v>46217</v>
      </c>
      <c r="F138" t="inlineStr">
        <is>
          <t>SÖDERMANLANDS LÄN</t>
        </is>
      </c>
      <c r="G138" t="inlineStr">
        <is>
          <t>STRÄNGNÄS</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866-2023</t>
        </is>
      </c>
      <c r="B139" t="inlineStr">
        <is>
          <t>avverkningsanmälan</t>
        </is>
      </c>
      <c r="C139" t="inlineStr">
        <is>
          <t>Föryngringsavverkning</t>
        </is>
      </c>
      <c r="D139" s="1" t="n">
        <v>44931</v>
      </c>
      <c r="E139" s="1" t="n">
        <v>46217</v>
      </c>
      <c r="F139" t="inlineStr">
        <is>
          <t>SÖDERMANLANDS LÄN</t>
        </is>
      </c>
      <c r="G139" t="inlineStr">
        <is>
          <t>STRÄNGNÄS</t>
        </is>
      </c>
      <c r="I139" t="n">
        <v>3.1</v>
      </c>
      <c r="J139" t="n">
        <v>0</v>
      </c>
      <c r="K139" t="n">
        <v>0</v>
      </c>
      <c r="L139" t="n">
        <v>0</v>
      </c>
      <c r="M139" t="n">
        <v>0</v>
      </c>
      <c r="N139" t="n">
        <v>0</v>
      </c>
      <c r="O139" t="n">
        <v>0</v>
      </c>
      <c r="P139" t="n">
        <v>0</v>
      </c>
      <c r="Q139" t="n">
        <v>0</v>
      </c>
      <c r="R139" t="n">
        <v>0</v>
      </c>
      <c r="S139" t="n">
        <v>0</v>
      </c>
      <c r="T139" t="n">
        <v>0</v>
      </c>
      <c r="U139" s="2" t="inlineStr"/>
    </row>
    <row r="140" ht="15" customHeight="1">
      <c r="A140" t="inlineStr">
        <is>
          <t>A 60764-2021</t>
        </is>
      </c>
      <c r="B140" t="inlineStr">
        <is>
          <t>avverkningsanmälan</t>
        </is>
      </c>
      <c r="C140" t="inlineStr">
        <is>
          <t>Föryngringsavverkning</t>
        </is>
      </c>
      <c r="D140" s="1" t="n">
        <v>44496</v>
      </c>
      <c r="E140" s="1" t="n">
        <v>46217</v>
      </c>
      <c r="F140" t="inlineStr">
        <is>
          <t>SÖDERMANLANDS LÄN</t>
        </is>
      </c>
      <c r="G140" t="inlineStr">
        <is>
          <t>STRÄNGNÄS</t>
        </is>
      </c>
      <c r="I140" t="n">
        <v>4.1</v>
      </c>
      <c r="J140" t="n">
        <v>0</v>
      </c>
      <c r="K140" t="n">
        <v>0</v>
      </c>
      <c r="L140" t="n">
        <v>0</v>
      </c>
      <c r="M140" t="n">
        <v>0</v>
      </c>
      <c r="N140" t="n">
        <v>0</v>
      </c>
      <c r="O140" t="n">
        <v>0</v>
      </c>
      <c r="P140" t="n">
        <v>0</v>
      </c>
      <c r="Q140" t="n">
        <v>0</v>
      </c>
      <c r="R140" t="n">
        <v>0</v>
      </c>
      <c r="S140" t="n">
        <v>0</v>
      </c>
      <c r="T140" t="n">
        <v>0</v>
      </c>
      <c r="U140" s="2" t="inlineStr"/>
    </row>
    <row r="141" ht="15" customHeight="1">
      <c r="A141" t="inlineStr">
        <is>
          <t>A 40605-2025</t>
        </is>
      </c>
      <c r="B141" t="inlineStr">
        <is>
          <t>avverkningsanmälan</t>
        </is>
      </c>
      <c r="C141" t="inlineStr">
        <is>
          <t>Föryngringsavverkning</t>
        </is>
      </c>
      <c r="D141" s="1" t="n">
        <v>45896</v>
      </c>
      <c r="E141" s="1" t="n">
        <v>46217</v>
      </c>
      <c r="F141" t="inlineStr">
        <is>
          <t>SÖDERMANLANDS LÄN</t>
        </is>
      </c>
      <c r="G141" t="inlineStr">
        <is>
          <t>STRÄNGNÄS</t>
        </is>
      </c>
      <c r="I141" t="n">
        <v>3.1</v>
      </c>
      <c r="J141" t="n">
        <v>0</v>
      </c>
      <c r="K141" t="n">
        <v>0</v>
      </c>
      <c r="L141" t="n">
        <v>0</v>
      </c>
      <c r="M141" t="n">
        <v>0</v>
      </c>
      <c r="N141" t="n">
        <v>0</v>
      </c>
      <c r="O141" t="n">
        <v>0</v>
      </c>
      <c r="P141" t="n">
        <v>0</v>
      </c>
      <c r="Q141" t="n">
        <v>0</v>
      </c>
      <c r="R141" t="n">
        <v>0</v>
      </c>
      <c r="S141" t="n">
        <v>0</v>
      </c>
      <c r="T141" t="n">
        <v>0</v>
      </c>
      <c r="U141" s="2" t="inlineStr"/>
    </row>
    <row r="142" ht="15" customHeight="1">
      <c r="A142" t="inlineStr">
        <is>
          <t>A 4115-2025</t>
        </is>
      </c>
      <c r="B142" t="inlineStr">
        <is>
          <t>avverkningsanmälan</t>
        </is>
      </c>
      <c r="C142" t="inlineStr">
        <is>
          <t>Föryngringsavverkning</t>
        </is>
      </c>
      <c r="D142" s="1" t="n">
        <v>45684</v>
      </c>
      <c r="E142" s="1" t="n">
        <v>46217</v>
      </c>
      <c r="F142" t="inlineStr">
        <is>
          <t>SÖDERMANLANDS LÄN</t>
        </is>
      </c>
      <c r="G142" t="inlineStr">
        <is>
          <t>STRÄNGNÄS</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56988-2024</t>
        </is>
      </c>
      <c r="B143" t="inlineStr">
        <is>
          <t>avverkningsanmälan</t>
        </is>
      </c>
      <c r="C143" t="inlineStr">
        <is>
          <t>Föryngringsavverkning</t>
        </is>
      </c>
      <c r="D143" s="1" t="n">
        <v>45628</v>
      </c>
      <c r="E143" s="1" t="n">
        <v>46217</v>
      </c>
      <c r="F143" t="inlineStr">
        <is>
          <t>SÖDERMANLANDS LÄN</t>
        </is>
      </c>
      <c r="G143" t="inlineStr">
        <is>
          <t>STRÄNGNÄS</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40112-2025</t>
        </is>
      </c>
      <c r="B144" t="inlineStr">
        <is>
          <t>avverkningsanmälan</t>
        </is>
      </c>
      <c r="C144" t="inlineStr">
        <is>
          <t>Föryngringsavverkning</t>
        </is>
      </c>
      <c r="D144" s="1" t="n">
        <v>45894</v>
      </c>
      <c r="E144" s="1" t="n">
        <v>46217</v>
      </c>
      <c r="F144" t="inlineStr">
        <is>
          <t>SÖDERMANLANDS LÄN</t>
        </is>
      </c>
      <c r="G144" t="inlineStr">
        <is>
          <t>STRÄNGNÄS</t>
        </is>
      </c>
      <c r="I144" t="n">
        <v>1.4</v>
      </c>
      <c r="J144" t="n">
        <v>0</v>
      </c>
      <c r="K144" t="n">
        <v>0</v>
      </c>
      <c r="L144" t="n">
        <v>0</v>
      </c>
      <c r="M144" t="n">
        <v>0</v>
      </c>
      <c r="N144" t="n">
        <v>0</v>
      </c>
      <c r="O144" t="n">
        <v>0</v>
      </c>
      <c r="P144" t="n">
        <v>0</v>
      </c>
      <c r="Q144" t="n">
        <v>0</v>
      </c>
      <c r="R144" t="n">
        <v>0</v>
      </c>
      <c r="S144" t="n">
        <v>0</v>
      </c>
      <c r="T144" t="n">
        <v>0</v>
      </c>
      <c r="U144" s="2" t="inlineStr"/>
    </row>
    <row r="145" ht="15" customHeight="1">
      <c r="A145" t="inlineStr">
        <is>
          <t>A 10867-2023</t>
        </is>
      </c>
      <c r="B145" t="inlineStr">
        <is>
          <t>avverkningsanmälan</t>
        </is>
      </c>
      <c r="C145" t="inlineStr">
        <is>
          <t>Föryngringsavverkning</t>
        </is>
      </c>
      <c r="D145" s="1" t="n">
        <v>44991</v>
      </c>
      <c r="E145" s="1" t="n">
        <v>46217</v>
      </c>
      <c r="F145" t="inlineStr">
        <is>
          <t>SÖDERMANLANDS LÄN</t>
        </is>
      </c>
      <c r="G145" t="inlineStr">
        <is>
          <t>STRÄNGNÄS</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1256-2023</t>
        </is>
      </c>
      <c r="B146" t="inlineStr">
        <is>
          <t>avverkningsanmälan</t>
        </is>
      </c>
      <c r="C146" t="inlineStr">
        <is>
          <t>Föryngringsavverkning</t>
        </is>
      </c>
      <c r="D146" s="1" t="n">
        <v>44936</v>
      </c>
      <c r="E146" s="1" t="n">
        <v>46217</v>
      </c>
      <c r="F146" t="inlineStr">
        <is>
          <t>SÖDERMANLANDS LÄN</t>
        </is>
      </c>
      <c r="G146" t="inlineStr">
        <is>
          <t>STRÄNGNÄS</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21126-2023</t>
        </is>
      </c>
      <c r="B147" t="inlineStr">
        <is>
          <t>avverkningsanmälan</t>
        </is>
      </c>
      <c r="C147" t="inlineStr">
        <is>
          <t>Föryngringsavverkning</t>
        </is>
      </c>
      <c r="D147" s="1" t="n">
        <v>45057</v>
      </c>
      <c r="E147" s="1" t="n">
        <v>46217</v>
      </c>
      <c r="F147" t="inlineStr">
        <is>
          <t>SÖDERMANLANDS LÄN</t>
        </is>
      </c>
      <c r="G147" t="inlineStr">
        <is>
          <t>STRÄNGNÄS</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6057-2025</t>
        </is>
      </c>
      <c r="B148" t="inlineStr">
        <is>
          <t>avverkningsanmälan</t>
        </is>
      </c>
      <c r="C148" t="inlineStr">
        <is>
          <t>Föryngringsavverkning</t>
        </is>
      </c>
      <c r="D148" s="1" t="n">
        <v>45695</v>
      </c>
      <c r="E148" s="1" t="n">
        <v>46217</v>
      </c>
      <c r="F148" t="inlineStr">
        <is>
          <t>SÖDERMANLANDS LÄN</t>
        </is>
      </c>
      <c r="G148" t="inlineStr">
        <is>
          <t>STRÄNGNÄS</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71391-2021</t>
        </is>
      </c>
      <c r="B149" t="inlineStr">
        <is>
          <t>avverkningsanmälan</t>
        </is>
      </c>
      <c r="C149" t="inlineStr">
        <is>
          <t>Föryngringsavverkning</t>
        </is>
      </c>
      <c r="D149" s="1" t="n">
        <v>44540</v>
      </c>
      <c r="E149" s="1" t="n">
        <v>46217</v>
      </c>
      <c r="F149" t="inlineStr">
        <is>
          <t>SÖDERMANLANDS LÄN</t>
        </is>
      </c>
      <c r="G149" t="inlineStr">
        <is>
          <t>STRÄNGNÄS</t>
        </is>
      </c>
      <c r="I149" t="n">
        <v>2</v>
      </c>
      <c r="J149" t="n">
        <v>0</v>
      </c>
      <c r="K149" t="n">
        <v>0</v>
      </c>
      <c r="L149" t="n">
        <v>0</v>
      </c>
      <c r="M149" t="n">
        <v>0</v>
      </c>
      <c r="N149" t="n">
        <v>0</v>
      </c>
      <c r="O149" t="n">
        <v>0</v>
      </c>
      <c r="P149" t="n">
        <v>0</v>
      </c>
      <c r="Q149" t="n">
        <v>0</v>
      </c>
      <c r="R149" t="n">
        <v>0</v>
      </c>
      <c r="S149" t="n">
        <v>0</v>
      </c>
      <c r="T149" t="n">
        <v>0</v>
      </c>
      <c r="U149" s="2" t="inlineStr"/>
    </row>
    <row r="150" ht="15" customHeight="1">
      <c r="A150" t="inlineStr">
        <is>
          <t>A 22459-2022</t>
        </is>
      </c>
      <c r="B150" t="inlineStr">
        <is>
          <t>avverkningsanmälan</t>
        </is>
      </c>
      <c r="C150" t="inlineStr">
        <is>
          <t>Föryngringsavverkning</t>
        </is>
      </c>
      <c r="D150" s="1" t="n">
        <v>44713</v>
      </c>
      <c r="E150" s="1" t="n">
        <v>46217</v>
      </c>
      <c r="F150" t="inlineStr">
        <is>
          <t>SÖDERMANLANDS LÄN</t>
        </is>
      </c>
      <c r="G150" t="inlineStr">
        <is>
          <t>STRÄNGNÄS</t>
        </is>
      </c>
      <c r="H150" t="inlineStr">
        <is>
          <t>Övriga Aktiebolag</t>
        </is>
      </c>
      <c r="I150" t="n">
        <v>3.8</v>
      </c>
      <c r="J150" t="n">
        <v>0</v>
      </c>
      <c r="K150" t="n">
        <v>0</v>
      </c>
      <c r="L150" t="n">
        <v>0</v>
      </c>
      <c r="M150" t="n">
        <v>0</v>
      </c>
      <c r="N150" t="n">
        <v>0</v>
      </c>
      <c r="O150" t="n">
        <v>0</v>
      </c>
      <c r="P150" t="n">
        <v>0</v>
      </c>
      <c r="Q150" t="n">
        <v>0</v>
      </c>
      <c r="R150" t="n">
        <v>0</v>
      </c>
      <c r="S150" t="n">
        <v>0</v>
      </c>
      <c r="T150" t="n">
        <v>0</v>
      </c>
      <c r="U150" s="2" t="inlineStr"/>
    </row>
    <row r="151" ht="15" customHeight="1">
      <c r="A151" t="inlineStr">
        <is>
          <t>A 32079-2024</t>
        </is>
      </c>
      <c r="B151" t="inlineStr">
        <is>
          <t>avverkningsanmälan</t>
        </is>
      </c>
      <c r="C151" t="inlineStr">
        <is>
          <t>Föryngringsavverkning</t>
        </is>
      </c>
      <c r="D151" s="1" t="n">
        <v>45511</v>
      </c>
      <c r="E151" s="1" t="n">
        <v>46217</v>
      </c>
      <c r="F151" t="inlineStr">
        <is>
          <t>SÖDERMANLANDS LÄN</t>
        </is>
      </c>
      <c r="G151" t="inlineStr">
        <is>
          <t>STRÄNGNÄS</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42806-2023</t>
        </is>
      </c>
      <c r="B152" t="inlineStr">
        <is>
          <t>avverkningsanmälan</t>
        </is>
      </c>
      <c r="C152" t="inlineStr">
        <is>
          <t>Föryngringsavverkning</t>
        </is>
      </c>
      <c r="D152" s="1" t="n">
        <v>45182</v>
      </c>
      <c r="E152" s="1" t="n">
        <v>46217</v>
      </c>
      <c r="F152" t="inlineStr">
        <is>
          <t>SÖDERMANLANDS LÄN</t>
        </is>
      </c>
      <c r="G152" t="inlineStr">
        <is>
          <t>STRÄNGNÄS</t>
        </is>
      </c>
      <c r="I152" t="n">
        <v>4.7</v>
      </c>
      <c r="J152" t="n">
        <v>0</v>
      </c>
      <c r="K152" t="n">
        <v>0</v>
      </c>
      <c r="L152" t="n">
        <v>0</v>
      </c>
      <c r="M152" t="n">
        <v>0</v>
      </c>
      <c r="N152" t="n">
        <v>0</v>
      </c>
      <c r="O152" t="n">
        <v>0</v>
      </c>
      <c r="P152" t="n">
        <v>0</v>
      </c>
      <c r="Q152" t="n">
        <v>0</v>
      </c>
      <c r="R152" t="n">
        <v>0</v>
      </c>
      <c r="S152" t="n">
        <v>0</v>
      </c>
      <c r="T152" t="n">
        <v>0</v>
      </c>
      <c r="U152" s="2" t="inlineStr"/>
    </row>
    <row r="153" ht="15" customHeight="1">
      <c r="A153" t="inlineStr">
        <is>
          <t>A 20167-2023</t>
        </is>
      </c>
      <c r="B153" t="inlineStr">
        <is>
          <t>avverkningsanmälan</t>
        </is>
      </c>
      <c r="C153" t="inlineStr">
        <is>
          <t>Föryngringsavverkning</t>
        </is>
      </c>
      <c r="D153" s="1" t="n">
        <v>45051</v>
      </c>
      <c r="E153" s="1" t="n">
        <v>46217</v>
      </c>
      <c r="F153" t="inlineStr">
        <is>
          <t>SÖDERMANLANDS LÄN</t>
        </is>
      </c>
      <c r="G153" t="inlineStr">
        <is>
          <t>STRÄNGNÄS</t>
        </is>
      </c>
      <c r="I153" t="n">
        <v>1.3</v>
      </c>
      <c r="J153" t="n">
        <v>0</v>
      </c>
      <c r="K153" t="n">
        <v>0</v>
      </c>
      <c r="L153" t="n">
        <v>0</v>
      </c>
      <c r="M153" t="n">
        <v>0</v>
      </c>
      <c r="N153" t="n">
        <v>0</v>
      </c>
      <c r="O153" t="n">
        <v>0</v>
      </c>
      <c r="P153" t="n">
        <v>0</v>
      </c>
      <c r="Q153" t="n">
        <v>0</v>
      </c>
      <c r="R153" t="n">
        <v>0</v>
      </c>
      <c r="S153" t="n">
        <v>0</v>
      </c>
      <c r="T153" t="n">
        <v>0</v>
      </c>
      <c r="U153" s="2" t="inlineStr"/>
    </row>
    <row r="154" ht="15" customHeight="1">
      <c r="A154" t="inlineStr">
        <is>
          <t>A 37429-2021</t>
        </is>
      </c>
      <c r="B154" t="inlineStr">
        <is>
          <t>avverkningsanmälan</t>
        </is>
      </c>
      <c r="C154" t="inlineStr">
        <is>
          <t>Föryngringsavverkning</t>
        </is>
      </c>
      <c r="D154" s="1" t="n">
        <v>44398</v>
      </c>
      <c r="E154" s="1" t="n">
        <v>46217</v>
      </c>
      <c r="F154" t="inlineStr">
        <is>
          <t>SÖDERMANLANDS LÄN</t>
        </is>
      </c>
      <c r="G154" t="inlineStr">
        <is>
          <t>STRÄNGNÄS</t>
        </is>
      </c>
      <c r="H154" t="inlineStr">
        <is>
          <t>Sveaskog</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37431-2021</t>
        </is>
      </c>
      <c r="B155" t="inlineStr">
        <is>
          <t>avverkningsanmälan</t>
        </is>
      </c>
      <c r="C155" t="inlineStr">
        <is>
          <t>Föryngringsavverkning</t>
        </is>
      </c>
      <c r="D155" s="1" t="n">
        <v>44398</v>
      </c>
      <c r="E155" s="1" t="n">
        <v>46217</v>
      </c>
      <c r="F155" t="inlineStr">
        <is>
          <t>SÖDERMANLANDS LÄN</t>
        </is>
      </c>
      <c r="G155" t="inlineStr">
        <is>
          <t>STRÄNGNÄS</t>
        </is>
      </c>
      <c r="H155" t="inlineStr">
        <is>
          <t>Sveaskog</t>
        </is>
      </c>
      <c r="I155" t="n">
        <v>4.8</v>
      </c>
      <c r="J155" t="n">
        <v>0</v>
      </c>
      <c r="K155" t="n">
        <v>0</v>
      </c>
      <c r="L155" t="n">
        <v>0</v>
      </c>
      <c r="M155" t="n">
        <v>0</v>
      </c>
      <c r="N155" t="n">
        <v>0</v>
      </c>
      <c r="O155" t="n">
        <v>0</v>
      </c>
      <c r="P155" t="n">
        <v>0</v>
      </c>
      <c r="Q155" t="n">
        <v>0</v>
      </c>
      <c r="R155" t="n">
        <v>0</v>
      </c>
      <c r="S155" t="n">
        <v>0</v>
      </c>
      <c r="T155" t="n">
        <v>0</v>
      </c>
      <c r="U155" s="2" t="inlineStr"/>
    </row>
    <row r="156" ht="15" customHeight="1">
      <c r="A156" t="inlineStr">
        <is>
          <t>A 4335-2023</t>
        </is>
      </c>
      <c r="B156" t="inlineStr">
        <is>
          <t>avverkningsanmälan</t>
        </is>
      </c>
      <c r="C156" t="inlineStr">
        <is>
          <t>Föryngringsavverkning</t>
        </is>
      </c>
      <c r="D156" s="1" t="n">
        <v>44953</v>
      </c>
      <c r="E156" s="1" t="n">
        <v>46217</v>
      </c>
      <c r="F156" t="inlineStr">
        <is>
          <t>SÖDERMANLANDS LÄN</t>
        </is>
      </c>
      <c r="G156" t="inlineStr">
        <is>
          <t>STRÄNGNÄS</t>
        </is>
      </c>
      <c r="H156" t="inlineStr">
        <is>
          <t>Allmännings- och besparingsskogar</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13807-2023</t>
        </is>
      </c>
      <c r="B157" t="inlineStr">
        <is>
          <t>avverkningsanmälan</t>
        </is>
      </c>
      <c r="C157" t="inlineStr">
        <is>
          <t>Föryngringsavverkning</t>
        </is>
      </c>
      <c r="D157" s="1" t="n">
        <v>45007</v>
      </c>
      <c r="E157" s="1" t="n">
        <v>46217</v>
      </c>
      <c r="F157" t="inlineStr">
        <is>
          <t>SÖDERMANLANDS LÄN</t>
        </is>
      </c>
      <c r="G157" t="inlineStr">
        <is>
          <t>STRÄNGNÄS</t>
        </is>
      </c>
      <c r="H157" t="inlineStr">
        <is>
          <t>Allmännings- och besparingsskogar</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58092-2023</t>
        </is>
      </c>
      <c r="B158" t="inlineStr">
        <is>
          <t>avverkningsanmälan</t>
        </is>
      </c>
      <c r="C158" t="inlineStr">
        <is>
          <t>Avverkning för att bevara och utveckla /försöksver</t>
        </is>
      </c>
      <c r="D158" s="1" t="n">
        <v>45248</v>
      </c>
      <c r="E158" s="1" t="n">
        <v>46217</v>
      </c>
      <c r="F158" t="inlineStr">
        <is>
          <t>SÖDERMANLANDS LÄN</t>
        </is>
      </c>
      <c r="G158" t="inlineStr">
        <is>
          <t>STRÄNGNÄS</t>
        </is>
      </c>
      <c r="I158" t="n">
        <v>28.5</v>
      </c>
      <c r="J158" t="n">
        <v>0</v>
      </c>
      <c r="K158" t="n">
        <v>0</v>
      </c>
      <c r="L158" t="n">
        <v>0</v>
      </c>
      <c r="M158" t="n">
        <v>0</v>
      </c>
      <c r="N158" t="n">
        <v>0</v>
      </c>
      <c r="O158" t="n">
        <v>0</v>
      </c>
      <c r="P158" t="n">
        <v>0</v>
      </c>
      <c r="Q158" t="n">
        <v>0</v>
      </c>
      <c r="R158" t="n">
        <v>0</v>
      </c>
      <c r="S158" t="n">
        <v>0</v>
      </c>
      <c r="T158" t="n">
        <v>0</v>
      </c>
      <c r="U158" s="2" t="inlineStr"/>
    </row>
    <row r="159" ht="15" customHeight="1">
      <c r="A159" t="inlineStr">
        <is>
          <t>A 864-2023</t>
        </is>
      </c>
      <c r="B159" t="inlineStr">
        <is>
          <t>avverkningsanmälan</t>
        </is>
      </c>
      <c r="C159" t="inlineStr">
        <is>
          <t>Föryngringsavverkning</t>
        </is>
      </c>
      <c r="D159" s="1" t="n">
        <v>44931</v>
      </c>
      <c r="E159" s="1" t="n">
        <v>46217</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43946-2022</t>
        </is>
      </c>
      <c r="B160" t="inlineStr">
        <is>
          <t>avverkningsanmälan</t>
        </is>
      </c>
      <c r="C160" t="inlineStr">
        <is>
          <t>Föryngringsavverkning</t>
        </is>
      </c>
      <c r="D160" s="1" t="n">
        <v>44838</v>
      </c>
      <c r="E160" s="1" t="n">
        <v>46217</v>
      </c>
      <c r="F160" t="inlineStr">
        <is>
          <t>SÖDERMANLANDS LÄN</t>
        </is>
      </c>
      <c r="G160" t="inlineStr">
        <is>
          <t>STRÄNGNÄS</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15193-2023</t>
        </is>
      </c>
      <c r="B161" t="inlineStr">
        <is>
          <t>avverkningsanmälan</t>
        </is>
      </c>
      <c r="C161" t="inlineStr">
        <is>
          <t>Föryngringsavverkning</t>
        </is>
      </c>
      <c r="D161" s="1" t="n">
        <v>45016</v>
      </c>
      <c r="E161" s="1" t="n">
        <v>46217</v>
      </c>
      <c r="F161" t="inlineStr">
        <is>
          <t>SÖDERMANLANDS LÄN</t>
        </is>
      </c>
      <c r="G161" t="inlineStr">
        <is>
          <t>STRÄNGNÄS</t>
        </is>
      </c>
      <c r="I161" t="n">
        <v>7.6</v>
      </c>
      <c r="J161" t="n">
        <v>0</v>
      </c>
      <c r="K161" t="n">
        <v>0</v>
      </c>
      <c r="L161" t="n">
        <v>0</v>
      </c>
      <c r="M161" t="n">
        <v>0</v>
      </c>
      <c r="N161" t="n">
        <v>0</v>
      </c>
      <c r="O161" t="n">
        <v>0</v>
      </c>
      <c r="P161" t="n">
        <v>0</v>
      </c>
      <c r="Q161" t="n">
        <v>0</v>
      </c>
      <c r="R161" t="n">
        <v>0</v>
      </c>
      <c r="S161" t="n">
        <v>0</v>
      </c>
      <c r="T161" t="n">
        <v>0</v>
      </c>
      <c r="U161" s="2" t="inlineStr"/>
    </row>
    <row r="162" ht="15" customHeight="1">
      <c r="A162" t="inlineStr">
        <is>
          <t>A 52712-2025</t>
        </is>
      </c>
      <c r="B162" t="inlineStr">
        <is>
          <t>avverkningsanmälan</t>
        </is>
      </c>
      <c r="C162" t="inlineStr">
        <is>
          <t>Föryngringsavverkning</t>
        </is>
      </c>
      <c r="D162" s="1" t="n">
        <v>45957</v>
      </c>
      <c r="E162" s="1" t="n">
        <v>46217</v>
      </c>
      <c r="F162" t="inlineStr">
        <is>
          <t>SÖDERMANLANDS LÄN</t>
        </is>
      </c>
      <c r="G162" t="inlineStr">
        <is>
          <t>STRÄNGNÄS</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56984-2024</t>
        </is>
      </c>
      <c r="B163" t="inlineStr">
        <is>
          <t>avverkningsanmälan</t>
        </is>
      </c>
      <c r="C163" t="inlineStr">
        <is>
          <t>Föryngringsavverkning</t>
        </is>
      </c>
      <c r="D163" s="1" t="n">
        <v>45628</v>
      </c>
      <c r="E163" s="1" t="n">
        <v>46217</v>
      </c>
      <c r="F163" t="inlineStr">
        <is>
          <t>SÖDERMANLANDS LÄN</t>
        </is>
      </c>
      <c r="G163" t="inlineStr">
        <is>
          <t>STRÄNGNÄS</t>
        </is>
      </c>
      <c r="I163" t="n">
        <v>7.6</v>
      </c>
      <c r="J163" t="n">
        <v>0</v>
      </c>
      <c r="K163" t="n">
        <v>0</v>
      </c>
      <c r="L163" t="n">
        <v>0</v>
      </c>
      <c r="M163" t="n">
        <v>0</v>
      </c>
      <c r="N163" t="n">
        <v>0</v>
      </c>
      <c r="O163" t="n">
        <v>0</v>
      </c>
      <c r="P163" t="n">
        <v>0</v>
      </c>
      <c r="Q163" t="n">
        <v>0</v>
      </c>
      <c r="R163" t="n">
        <v>0</v>
      </c>
      <c r="S163" t="n">
        <v>0</v>
      </c>
      <c r="T163" t="n">
        <v>0</v>
      </c>
      <c r="U163" s="2" t="inlineStr"/>
    </row>
    <row r="164" ht="15" customHeight="1">
      <c r="A164" t="inlineStr">
        <is>
          <t>A 23541-2023</t>
        </is>
      </c>
      <c r="B164" t="inlineStr">
        <is>
          <t>avverkningsanmälan</t>
        </is>
      </c>
      <c r="C164" t="inlineStr">
        <is>
          <t>Föryngringsavverkning</t>
        </is>
      </c>
      <c r="D164" s="1" t="n">
        <v>45077</v>
      </c>
      <c r="E164" s="1" t="n">
        <v>46217</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s="2" t="inlineStr"/>
    </row>
    <row r="165" ht="15" customHeight="1">
      <c r="A165" t="inlineStr">
        <is>
          <t>A 20187-2026</t>
        </is>
      </c>
      <c r="B165" t="inlineStr">
        <is>
          <t>avverkningsanmälan</t>
        </is>
      </c>
      <c r="C165" t="inlineStr">
        <is>
          <t>Föryngringsavverkning</t>
        </is>
      </c>
      <c r="D165" s="1" t="n">
        <v>46139</v>
      </c>
      <c r="E165" s="1" t="n">
        <v>46217</v>
      </c>
      <c r="F165" t="inlineStr">
        <is>
          <t>SÖDERMANLANDS LÄN</t>
        </is>
      </c>
      <c r="G165" t="inlineStr">
        <is>
          <t>STRÄNGNÄS</t>
        </is>
      </c>
      <c r="H165" t="inlineStr">
        <is>
          <t>Allmännings- och besparingsskogar</t>
        </is>
      </c>
      <c r="I165" t="n">
        <v>4.2</v>
      </c>
      <c r="J165" t="n">
        <v>0</v>
      </c>
      <c r="K165" t="n">
        <v>0</v>
      </c>
      <c r="L165" t="n">
        <v>0</v>
      </c>
      <c r="M165" t="n">
        <v>0</v>
      </c>
      <c r="N165" t="n">
        <v>0</v>
      </c>
      <c r="O165" t="n">
        <v>0</v>
      </c>
      <c r="P165" t="n">
        <v>0</v>
      </c>
      <c r="Q165" t="n">
        <v>0</v>
      </c>
      <c r="R165" t="n">
        <v>0</v>
      </c>
      <c r="S165" t="n">
        <v>0</v>
      </c>
      <c r="T165" t="n">
        <v>0</v>
      </c>
      <c r="U165" s="2" t="inlineStr"/>
    </row>
    <row r="166" ht="15" customHeight="1">
      <c r="A166" t="inlineStr">
        <is>
          <t>A 56989-2024</t>
        </is>
      </c>
      <c r="B166" t="inlineStr">
        <is>
          <t>avverkningsanmälan</t>
        </is>
      </c>
      <c r="C166" t="inlineStr">
        <is>
          <t>Föryngringsavverkning</t>
        </is>
      </c>
      <c r="D166" s="1" t="n">
        <v>45628</v>
      </c>
      <c r="E166" s="1" t="n">
        <v>46217</v>
      </c>
      <c r="F166" t="inlineStr">
        <is>
          <t>SÖDERMANLANDS LÄN</t>
        </is>
      </c>
      <c r="G166" t="inlineStr">
        <is>
          <t>STRÄNGNÄS</t>
        </is>
      </c>
      <c r="I166" t="n">
        <v>7.6</v>
      </c>
      <c r="J166" t="n">
        <v>0</v>
      </c>
      <c r="K166" t="n">
        <v>0</v>
      </c>
      <c r="L166" t="n">
        <v>0</v>
      </c>
      <c r="M166" t="n">
        <v>0</v>
      </c>
      <c r="N166" t="n">
        <v>0</v>
      </c>
      <c r="O166" t="n">
        <v>0</v>
      </c>
      <c r="P166" t="n">
        <v>0</v>
      </c>
      <c r="Q166" t="n">
        <v>0</v>
      </c>
      <c r="R166" t="n">
        <v>0</v>
      </c>
      <c r="S166" t="n">
        <v>0</v>
      </c>
      <c r="T166" t="n">
        <v>0</v>
      </c>
      <c r="U166" s="2" t="inlineStr"/>
    </row>
    <row r="167" ht="15" customHeight="1">
      <c r="A167" t="inlineStr">
        <is>
          <t>A 48827-2023</t>
        </is>
      </c>
      <c r="B167" t="inlineStr">
        <is>
          <t>avverkningsanmälan</t>
        </is>
      </c>
      <c r="C167" t="inlineStr">
        <is>
          <t>Föryngringsavverkning</t>
        </is>
      </c>
      <c r="D167" s="1" t="n">
        <v>45204</v>
      </c>
      <c r="E167" s="1" t="n">
        <v>46217</v>
      </c>
      <c r="F167" t="inlineStr">
        <is>
          <t>SÖDERMANLANDS LÄN</t>
        </is>
      </c>
      <c r="G167" t="inlineStr">
        <is>
          <t>STRÄNGNÄS</t>
        </is>
      </c>
      <c r="I167" t="n">
        <v>1.7</v>
      </c>
      <c r="J167" t="n">
        <v>0</v>
      </c>
      <c r="K167" t="n">
        <v>0</v>
      </c>
      <c r="L167" t="n">
        <v>0</v>
      </c>
      <c r="M167" t="n">
        <v>0</v>
      </c>
      <c r="N167" t="n">
        <v>0</v>
      </c>
      <c r="O167" t="n">
        <v>0</v>
      </c>
      <c r="P167" t="n">
        <v>0</v>
      </c>
      <c r="Q167" t="n">
        <v>0</v>
      </c>
      <c r="R167" t="n">
        <v>0</v>
      </c>
      <c r="S167" t="n">
        <v>0</v>
      </c>
      <c r="T167" t="n">
        <v>0</v>
      </c>
      <c r="U167" s="2" t="inlineStr"/>
    </row>
    <row r="168" ht="15" customHeight="1">
      <c r="A168" t="inlineStr">
        <is>
          <t>A 48875-2023</t>
        </is>
      </c>
      <c r="B168" t="inlineStr">
        <is>
          <t>avverkningsanmälan</t>
        </is>
      </c>
      <c r="C168" t="inlineStr">
        <is>
          <t>Föryngringsavverkning</t>
        </is>
      </c>
      <c r="D168" s="1" t="n">
        <v>45204</v>
      </c>
      <c r="E168" s="1" t="n">
        <v>46217</v>
      </c>
      <c r="F168" t="inlineStr">
        <is>
          <t>SÖDERMANLANDS LÄN</t>
        </is>
      </c>
      <c r="G168" t="inlineStr">
        <is>
          <t>STRÄNGNÄS</t>
        </is>
      </c>
      <c r="I168" t="n">
        <v>1.7</v>
      </c>
      <c r="J168" t="n">
        <v>0</v>
      </c>
      <c r="K168" t="n">
        <v>0</v>
      </c>
      <c r="L168" t="n">
        <v>0</v>
      </c>
      <c r="M168" t="n">
        <v>0</v>
      </c>
      <c r="N168" t="n">
        <v>0</v>
      </c>
      <c r="O168" t="n">
        <v>0</v>
      </c>
      <c r="P168" t="n">
        <v>0</v>
      </c>
      <c r="Q168" t="n">
        <v>0</v>
      </c>
      <c r="R168" t="n">
        <v>0</v>
      </c>
      <c r="S168" t="n">
        <v>0</v>
      </c>
      <c r="T168" t="n">
        <v>0</v>
      </c>
      <c r="U168" s="2" t="inlineStr"/>
    </row>
    <row r="169" ht="15" customHeight="1">
      <c r="A169" t="inlineStr">
        <is>
          <t>A 12619-2025</t>
        </is>
      </c>
      <c r="B169" t="inlineStr">
        <is>
          <t>avverkningsanmälan</t>
        </is>
      </c>
      <c r="C169" t="inlineStr">
        <is>
          <t>Föryngringsavverkning</t>
        </is>
      </c>
      <c r="D169" s="1" t="n">
        <v>45733</v>
      </c>
      <c r="E169" s="1" t="n">
        <v>46217</v>
      </c>
      <c r="F169" t="inlineStr">
        <is>
          <t>SÖDERMANLANDS LÄN</t>
        </is>
      </c>
      <c r="G169" t="inlineStr">
        <is>
          <t>STRÄNGNÄS</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54451-2025</t>
        </is>
      </c>
      <c r="B170" t="inlineStr">
        <is>
          <t>avverkningsanmälan</t>
        </is>
      </c>
      <c r="C170" t="inlineStr">
        <is>
          <t>Föryngringsavverkning</t>
        </is>
      </c>
      <c r="D170" s="1" t="n">
        <v>45965</v>
      </c>
      <c r="E170" s="1" t="n">
        <v>46217</v>
      </c>
      <c r="F170" t="inlineStr">
        <is>
          <t>SÖDERMANLANDS LÄN</t>
        </is>
      </c>
      <c r="G170" t="inlineStr">
        <is>
          <t>STRÄNGNÄS</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60749-2021</t>
        </is>
      </c>
      <c r="B171" t="inlineStr">
        <is>
          <t>avverkningsanmälan</t>
        </is>
      </c>
      <c r="C171" t="inlineStr">
        <is>
          <t>Föryngringsavverkning</t>
        </is>
      </c>
      <c r="D171" s="1" t="n">
        <v>44496</v>
      </c>
      <c r="E171" s="1" t="n">
        <v>46217</v>
      </c>
      <c r="F171" t="inlineStr">
        <is>
          <t>SÖDERMANLANDS LÄN</t>
        </is>
      </c>
      <c r="G171" t="inlineStr">
        <is>
          <t>STRÄNGNÄS</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56124-2025</t>
        </is>
      </c>
      <c r="B172" t="inlineStr">
        <is>
          <t>avverkningsanmälan</t>
        </is>
      </c>
      <c r="C172" t="inlineStr">
        <is>
          <t>Avverkning för annat ändamål</t>
        </is>
      </c>
      <c r="D172" s="1" t="n">
        <v>45973</v>
      </c>
      <c r="E172" s="1" t="n">
        <v>46217</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s="2" t="inlineStr"/>
    </row>
    <row r="173" ht="15" customHeight="1">
      <c r="A173" t="inlineStr">
        <is>
          <t>A 3824-2024</t>
        </is>
      </c>
      <c r="B173" t="inlineStr">
        <is>
          <t>avverkningsanmälan</t>
        </is>
      </c>
      <c r="C173" t="inlineStr">
        <is>
          <t>Föryngringsavverkning</t>
        </is>
      </c>
      <c r="D173" s="1" t="n">
        <v>45321</v>
      </c>
      <c r="E173" s="1" t="n">
        <v>46217</v>
      </c>
      <c r="F173" t="inlineStr">
        <is>
          <t>SÖDERMANLANDS LÄN</t>
        </is>
      </c>
      <c r="G173" t="inlineStr">
        <is>
          <t>STRÄNGNÄS</t>
        </is>
      </c>
      <c r="I173" t="n">
        <v>3.2</v>
      </c>
      <c r="J173" t="n">
        <v>0</v>
      </c>
      <c r="K173" t="n">
        <v>0</v>
      </c>
      <c r="L173" t="n">
        <v>0</v>
      </c>
      <c r="M173" t="n">
        <v>0</v>
      </c>
      <c r="N173" t="n">
        <v>0</v>
      </c>
      <c r="O173" t="n">
        <v>0</v>
      </c>
      <c r="P173" t="n">
        <v>0</v>
      </c>
      <c r="Q173" t="n">
        <v>0</v>
      </c>
      <c r="R173" t="n">
        <v>0</v>
      </c>
      <c r="S173" t="n">
        <v>0</v>
      </c>
      <c r="T173" t="n">
        <v>0</v>
      </c>
      <c r="U173" s="2" t="inlineStr"/>
    </row>
    <row r="174" ht="15" customHeight="1">
      <c r="A174" t="inlineStr">
        <is>
          <t>A 57150-2025</t>
        </is>
      </c>
      <c r="B174" t="inlineStr">
        <is>
          <t>avverkningsanmälan</t>
        </is>
      </c>
      <c r="C174" t="inlineStr">
        <is>
          <t>Föryngringsavverkning</t>
        </is>
      </c>
      <c r="D174" s="1" t="n">
        <v>45979</v>
      </c>
      <c r="E174" s="1" t="n">
        <v>46217</v>
      </c>
      <c r="F174" t="inlineStr">
        <is>
          <t>SÖDERMANLANDS LÄN</t>
        </is>
      </c>
      <c r="G174" t="inlineStr">
        <is>
          <t>STRÄNGNÄS</t>
        </is>
      </c>
      <c r="I174" t="n">
        <v>13.8</v>
      </c>
      <c r="J174" t="n">
        <v>0</v>
      </c>
      <c r="K174" t="n">
        <v>0</v>
      </c>
      <c r="L174" t="n">
        <v>0</v>
      </c>
      <c r="M174" t="n">
        <v>0</v>
      </c>
      <c r="N174" t="n">
        <v>0</v>
      </c>
      <c r="O174" t="n">
        <v>0</v>
      </c>
      <c r="P174" t="n">
        <v>0</v>
      </c>
      <c r="Q174" t="n">
        <v>0</v>
      </c>
      <c r="R174" t="n">
        <v>0</v>
      </c>
      <c r="S174" t="n">
        <v>0</v>
      </c>
      <c r="T174" t="n">
        <v>0</v>
      </c>
      <c r="U174" s="2" t="inlineStr"/>
    </row>
    <row r="175" ht="15" customHeight="1">
      <c r="A175" t="inlineStr">
        <is>
          <t>A 22522-2023</t>
        </is>
      </c>
      <c r="B175" t="inlineStr">
        <is>
          <t>avverkningsanmälan</t>
        </is>
      </c>
      <c r="C175" t="inlineStr">
        <is>
          <t>Föryngringsavverkning</t>
        </is>
      </c>
      <c r="D175" s="1" t="n">
        <v>45071</v>
      </c>
      <c r="E175" s="1" t="n">
        <v>46217</v>
      </c>
      <c r="F175" t="inlineStr">
        <is>
          <t>SÖDERMANLANDS LÄN</t>
        </is>
      </c>
      <c r="G175" t="inlineStr">
        <is>
          <t>STRÄNGNÄS</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66296-2021</t>
        </is>
      </c>
      <c r="B176" t="inlineStr">
        <is>
          <t>avverkningsanmälan</t>
        </is>
      </c>
      <c r="C176" t="inlineStr">
        <is>
          <t>Föryngringsavverkning</t>
        </is>
      </c>
      <c r="D176" s="1" t="n">
        <v>44518</v>
      </c>
      <c r="E176" s="1" t="n">
        <v>46217</v>
      </c>
      <c r="F176" t="inlineStr">
        <is>
          <t>SÖDERMANLANDS LÄN</t>
        </is>
      </c>
      <c r="G176" t="inlineStr">
        <is>
          <t>STRÄNGNÄS</t>
        </is>
      </c>
      <c r="H176" t="inlineStr">
        <is>
          <t>Övriga statliga verk och myndigheter</t>
        </is>
      </c>
      <c r="I176" t="n">
        <v>3.8</v>
      </c>
      <c r="J176" t="n">
        <v>0</v>
      </c>
      <c r="K176" t="n">
        <v>0</v>
      </c>
      <c r="L176" t="n">
        <v>0</v>
      </c>
      <c r="M176" t="n">
        <v>0</v>
      </c>
      <c r="N176" t="n">
        <v>0</v>
      </c>
      <c r="O176" t="n">
        <v>0</v>
      </c>
      <c r="P176" t="n">
        <v>0</v>
      </c>
      <c r="Q176" t="n">
        <v>0</v>
      </c>
      <c r="R176" t="n">
        <v>0</v>
      </c>
      <c r="S176" t="n">
        <v>0</v>
      </c>
      <c r="T176" t="n">
        <v>0</v>
      </c>
      <c r="U176" s="2" t="inlineStr"/>
    </row>
    <row r="177" ht="15" customHeight="1">
      <c r="A177" t="inlineStr">
        <is>
          <t>A 58935-2025</t>
        </is>
      </c>
      <c r="B177" t="inlineStr">
        <is>
          <t>avverkningsanmälan</t>
        </is>
      </c>
      <c r="C177" t="inlineStr">
        <is>
          <t>Föryngringsavverkning</t>
        </is>
      </c>
      <c r="D177" s="1" t="n">
        <v>45986</v>
      </c>
      <c r="E177" s="1" t="n">
        <v>46217</v>
      </c>
      <c r="F177" t="inlineStr">
        <is>
          <t>SÖDERMANLANDS LÄN</t>
        </is>
      </c>
      <c r="G177" t="inlineStr">
        <is>
          <t>STRÄNGNÄS</t>
        </is>
      </c>
      <c r="I177" t="n">
        <v>6.6</v>
      </c>
      <c r="J177" t="n">
        <v>0</v>
      </c>
      <c r="K177" t="n">
        <v>0</v>
      </c>
      <c r="L177" t="n">
        <v>0</v>
      </c>
      <c r="M177" t="n">
        <v>0</v>
      </c>
      <c r="N177" t="n">
        <v>0</v>
      </c>
      <c r="O177" t="n">
        <v>0</v>
      </c>
      <c r="P177" t="n">
        <v>0</v>
      </c>
      <c r="Q177" t="n">
        <v>0</v>
      </c>
      <c r="R177" t="n">
        <v>0</v>
      </c>
      <c r="S177" t="n">
        <v>0</v>
      </c>
      <c r="T177" t="n">
        <v>0</v>
      </c>
      <c r="U177" s="2" t="inlineStr"/>
    </row>
    <row r="178" ht="15" customHeight="1">
      <c r="A178" t="inlineStr">
        <is>
          <t>A 58241-2022</t>
        </is>
      </c>
      <c r="B178" t="inlineStr">
        <is>
          <t>avverkningsanmälan</t>
        </is>
      </c>
      <c r="C178" t="inlineStr">
        <is>
          <t>Föryngringsavverkning</t>
        </is>
      </c>
      <c r="D178" s="1" t="n">
        <v>44901</v>
      </c>
      <c r="E178" s="1" t="n">
        <v>46217</v>
      </c>
      <c r="F178" t="inlineStr">
        <is>
          <t>SÖDERMANLANDS LÄN</t>
        </is>
      </c>
      <c r="G178" t="inlineStr">
        <is>
          <t>STRÄNGNÄS</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33342-2023</t>
        </is>
      </c>
      <c r="B179" t="inlineStr">
        <is>
          <t>avverkningsanmälan</t>
        </is>
      </c>
      <c r="C179" t="inlineStr">
        <is>
          <t>Föryngringsavverkning</t>
        </is>
      </c>
      <c r="D179" s="1" t="n">
        <v>45128</v>
      </c>
      <c r="E179" s="1" t="n">
        <v>46217</v>
      </c>
      <c r="F179" t="inlineStr">
        <is>
          <t>SÖDERMANLANDS LÄN</t>
        </is>
      </c>
      <c r="G179" t="inlineStr">
        <is>
          <t>STRÄNGNÄS</t>
        </is>
      </c>
      <c r="I179" t="n">
        <v>3.1</v>
      </c>
      <c r="J179" t="n">
        <v>0</v>
      </c>
      <c r="K179" t="n">
        <v>0</v>
      </c>
      <c r="L179" t="n">
        <v>0</v>
      </c>
      <c r="M179" t="n">
        <v>0</v>
      </c>
      <c r="N179" t="n">
        <v>0</v>
      </c>
      <c r="O179" t="n">
        <v>0</v>
      </c>
      <c r="P179" t="n">
        <v>0</v>
      </c>
      <c r="Q179" t="n">
        <v>0</v>
      </c>
      <c r="R179" t="n">
        <v>0</v>
      </c>
      <c r="S179" t="n">
        <v>0</v>
      </c>
      <c r="T179" t="n">
        <v>0</v>
      </c>
      <c r="U179" s="2" t="inlineStr"/>
    </row>
    <row r="180" ht="15" customHeight="1">
      <c r="A180" t="inlineStr">
        <is>
          <t>A 62746-2025</t>
        </is>
      </c>
      <c r="B180" t="inlineStr">
        <is>
          <t>avverkningsanmälan</t>
        </is>
      </c>
      <c r="C180" t="inlineStr">
        <is>
          <t>Föryngringsavverkning</t>
        </is>
      </c>
      <c r="D180" s="1" t="n">
        <v>46008</v>
      </c>
      <c r="E180" s="1" t="n">
        <v>46217</v>
      </c>
      <c r="F180" t="inlineStr">
        <is>
          <t>SÖDERMANLANDS LÄN</t>
        </is>
      </c>
      <c r="G180" t="inlineStr">
        <is>
          <t>STRÄNGNÄS</t>
        </is>
      </c>
      <c r="I180" t="n">
        <v>3</v>
      </c>
      <c r="J180" t="n">
        <v>0</v>
      </c>
      <c r="K180" t="n">
        <v>0</v>
      </c>
      <c r="L180" t="n">
        <v>0</v>
      </c>
      <c r="M180" t="n">
        <v>0</v>
      </c>
      <c r="N180" t="n">
        <v>0</v>
      </c>
      <c r="O180" t="n">
        <v>0</v>
      </c>
      <c r="P180" t="n">
        <v>0</v>
      </c>
      <c r="Q180" t="n">
        <v>0</v>
      </c>
      <c r="R180" t="n">
        <v>0</v>
      </c>
      <c r="S180" t="n">
        <v>0</v>
      </c>
      <c r="T180" t="n">
        <v>0</v>
      </c>
      <c r="U180" s="2" t="inlineStr"/>
    </row>
    <row r="181" ht="15" customHeight="1">
      <c r="A181" t="inlineStr">
        <is>
          <t>A 58936-2025</t>
        </is>
      </c>
      <c r="B181" t="inlineStr">
        <is>
          <t>avverkningsanmälan</t>
        </is>
      </c>
      <c r="C181" t="inlineStr">
        <is>
          <t>Föryngringsavverkning</t>
        </is>
      </c>
      <c r="D181" s="1" t="n">
        <v>45986</v>
      </c>
      <c r="E181" s="1" t="n">
        <v>46217</v>
      </c>
      <c r="F181" t="inlineStr">
        <is>
          <t>SÖDERMANLANDS LÄN</t>
        </is>
      </c>
      <c r="G181" t="inlineStr">
        <is>
          <t>STRÄNGNÄS</t>
        </is>
      </c>
      <c r="I181" t="n">
        <v>2.7</v>
      </c>
      <c r="J181" t="n">
        <v>0</v>
      </c>
      <c r="K181" t="n">
        <v>0</v>
      </c>
      <c r="L181" t="n">
        <v>0</v>
      </c>
      <c r="M181" t="n">
        <v>0</v>
      </c>
      <c r="N181" t="n">
        <v>0</v>
      </c>
      <c r="O181" t="n">
        <v>0</v>
      </c>
      <c r="P181" t="n">
        <v>0</v>
      </c>
      <c r="Q181" t="n">
        <v>0</v>
      </c>
      <c r="R181" t="n">
        <v>0</v>
      </c>
      <c r="S181" t="n">
        <v>0</v>
      </c>
      <c r="T181" t="n">
        <v>0</v>
      </c>
      <c r="U181" s="2" t="inlineStr"/>
    </row>
    <row r="182" ht="15" customHeight="1">
      <c r="A182" t="inlineStr">
        <is>
          <t>A 65153-2023</t>
        </is>
      </c>
      <c r="B182" t="inlineStr">
        <is>
          <t>avverkningsanmälan</t>
        </is>
      </c>
      <c r="C182" t="inlineStr">
        <is>
          <t>Föryngringsavverkning</t>
        </is>
      </c>
      <c r="D182" s="1" t="n">
        <v>45288</v>
      </c>
      <c r="E182" s="1" t="n">
        <v>46217</v>
      </c>
      <c r="F182" t="inlineStr">
        <is>
          <t>SÖDERMANLANDS LÄN</t>
        </is>
      </c>
      <c r="G182" t="inlineStr">
        <is>
          <t>STRÄNGNÄS</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32552-2023</t>
        </is>
      </c>
      <c r="B183" t="inlineStr">
        <is>
          <t>avverkningsanmälan</t>
        </is>
      </c>
      <c r="C183" t="inlineStr">
        <is>
          <t>Föryngringsavverkning</t>
        </is>
      </c>
      <c r="D183" s="1" t="n">
        <v>45121</v>
      </c>
      <c r="E183" s="1" t="n">
        <v>46217</v>
      </c>
      <c r="F183" t="inlineStr">
        <is>
          <t>SÖDERMANLANDS LÄN</t>
        </is>
      </c>
      <c r="G183" t="inlineStr">
        <is>
          <t>STRÄNGNÄS</t>
        </is>
      </c>
      <c r="I183" t="n">
        <v>2.4</v>
      </c>
      <c r="J183" t="n">
        <v>0</v>
      </c>
      <c r="K183" t="n">
        <v>0</v>
      </c>
      <c r="L183" t="n">
        <v>0</v>
      </c>
      <c r="M183" t="n">
        <v>0</v>
      </c>
      <c r="N183" t="n">
        <v>0</v>
      </c>
      <c r="O183" t="n">
        <v>0</v>
      </c>
      <c r="P183" t="n">
        <v>0</v>
      </c>
      <c r="Q183" t="n">
        <v>0</v>
      </c>
      <c r="R183" t="n">
        <v>0</v>
      </c>
      <c r="S183" t="n">
        <v>0</v>
      </c>
      <c r="T183" t="n">
        <v>0</v>
      </c>
      <c r="U183" s="2" t="inlineStr"/>
    </row>
    <row r="184" ht="15" customHeight="1">
      <c r="A184" t="inlineStr">
        <is>
          <t>A 1117-2022</t>
        </is>
      </c>
      <c r="B184" t="inlineStr">
        <is>
          <t>avverkningsanmälan</t>
        </is>
      </c>
      <c r="C184" t="inlineStr">
        <is>
          <t>Föryngringsavverkning</t>
        </is>
      </c>
      <c r="D184" s="1" t="n">
        <v>44571</v>
      </c>
      <c r="E184" s="1" t="n">
        <v>46217</v>
      </c>
      <c r="F184" t="inlineStr">
        <is>
          <t>SÖDERMANLANDS LÄN</t>
        </is>
      </c>
      <c r="G184" t="inlineStr">
        <is>
          <t>STRÄNGNÄS</t>
        </is>
      </c>
      <c r="I184" t="n">
        <v>2.5</v>
      </c>
      <c r="J184" t="n">
        <v>0</v>
      </c>
      <c r="K184" t="n">
        <v>0</v>
      </c>
      <c r="L184" t="n">
        <v>0</v>
      </c>
      <c r="M184" t="n">
        <v>0</v>
      </c>
      <c r="N184" t="n">
        <v>0</v>
      </c>
      <c r="O184" t="n">
        <v>0</v>
      </c>
      <c r="P184" t="n">
        <v>0</v>
      </c>
      <c r="Q184" t="n">
        <v>0</v>
      </c>
      <c r="R184" t="n">
        <v>0</v>
      </c>
      <c r="S184" t="n">
        <v>0</v>
      </c>
      <c r="T184" t="n">
        <v>0</v>
      </c>
      <c r="U184" s="2" t="inlineStr"/>
    </row>
    <row r="185" ht="15" customHeight="1">
      <c r="A185" t="inlineStr">
        <is>
          <t>A 28102-2026</t>
        </is>
      </c>
      <c r="B185" t="inlineStr">
        <is>
          <t>avverkningsanmälan</t>
        </is>
      </c>
      <c r="C185" t="inlineStr">
        <is>
          <t>Avverkning för annat ändamål</t>
        </is>
      </c>
      <c r="D185" s="1" t="n">
        <v>46195</v>
      </c>
      <c r="E185" s="1" t="n">
        <v>46217</v>
      </c>
      <c r="F185" t="inlineStr">
        <is>
          <t>SÖDERMANLANDS LÄN</t>
        </is>
      </c>
      <c r="G185" t="inlineStr">
        <is>
          <t>STRÄNGNÄS</t>
        </is>
      </c>
      <c r="H185" t="inlineStr">
        <is>
          <t>Övriga Aktiebolag</t>
        </is>
      </c>
      <c r="I185" t="n">
        <v>0.2</v>
      </c>
      <c r="J185" t="n">
        <v>0</v>
      </c>
      <c r="K185" t="n">
        <v>0</v>
      </c>
      <c r="L185" t="n">
        <v>0</v>
      </c>
      <c r="M185" t="n">
        <v>0</v>
      </c>
      <c r="N185" t="n">
        <v>0</v>
      </c>
      <c r="O185" t="n">
        <v>0</v>
      </c>
      <c r="P185" t="n">
        <v>0</v>
      </c>
      <c r="Q185" t="n">
        <v>0</v>
      </c>
      <c r="R185" t="n">
        <v>0</v>
      </c>
      <c r="S185" t="n">
        <v>0</v>
      </c>
      <c r="T185" t="n">
        <v>0</v>
      </c>
      <c r="U185" s="2" t="inlineStr"/>
    </row>
    <row r="186" ht="15" customHeight="1">
      <c r="A186" t="inlineStr">
        <is>
          <t>A 61124-2025</t>
        </is>
      </c>
      <c r="B186" t="inlineStr">
        <is>
          <t>avverkningsanmälan</t>
        </is>
      </c>
      <c r="C186" t="inlineStr">
        <is>
          <t>Föryngringsavverkning</t>
        </is>
      </c>
      <c r="D186" s="1" t="n">
        <v>46000</v>
      </c>
      <c r="E186" s="1" t="n">
        <v>46217</v>
      </c>
      <c r="F186" t="inlineStr">
        <is>
          <t>SÖDERMANLANDS LÄN</t>
        </is>
      </c>
      <c r="G186" t="inlineStr">
        <is>
          <t>STRÄNGNÄS</t>
        </is>
      </c>
      <c r="H186" t="inlineStr">
        <is>
          <t>Allmännings- och besparingsskogar</t>
        </is>
      </c>
      <c r="I186" t="n">
        <v>4.4</v>
      </c>
      <c r="J186" t="n">
        <v>0</v>
      </c>
      <c r="K186" t="n">
        <v>0</v>
      </c>
      <c r="L186" t="n">
        <v>0</v>
      </c>
      <c r="M186" t="n">
        <v>0</v>
      </c>
      <c r="N186" t="n">
        <v>0</v>
      </c>
      <c r="O186" t="n">
        <v>0</v>
      </c>
      <c r="P186" t="n">
        <v>0</v>
      </c>
      <c r="Q186" t="n">
        <v>0</v>
      </c>
      <c r="R186" t="n">
        <v>0</v>
      </c>
      <c r="S186" t="n">
        <v>0</v>
      </c>
      <c r="T186" t="n">
        <v>0</v>
      </c>
      <c r="U186" s="2" t="inlineStr"/>
    </row>
    <row r="187" ht="15" customHeight="1">
      <c r="A187" t="inlineStr">
        <is>
          <t>A 36469-2023</t>
        </is>
      </c>
      <c r="B187" t="inlineStr">
        <is>
          <t>avverkningsanmälan</t>
        </is>
      </c>
      <c r="C187" t="inlineStr">
        <is>
          <t>Föryngringsavverkning</t>
        </is>
      </c>
      <c r="D187" s="1" t="n">
        <v>45152</v>
      </c>
      <c r="E187" s="1" t="n">
        <v>46217</v>
      </c>
      <c r="F187" t="inlineStr">
        <is>
          <t>SÖDERMANLANDS LÄN</t>
        </is>
      </c>
      <c r="G187" t="inlineStr">
        <is>
          <t>STRÄNGNÄS</t>
        </is>
      </c>
      <c r="H187" t="inlineStr">
        <is>
          <t>Sveaskog</t>
        </is>
      </c>
      <c r="I187" t="n">
        <v>3.2</v>
      </c>
      <c r="J187" t="n">
        <v>0</v>
      </c>
      <c r="K187" t="n">
        <v>0</v>
      </c>
      <c r="L187" t="n">
        <v>0</v>
      </c>
      <c r="M187" t="n">
        <v>0</v>
      </c>
      <c r="N187" t="n">
        <v>0</v>
      </c>
      <c r="O187" t="n">
        <v>0</v>
      </c>
      <c r="P187" t="n">
        <v>0</v>
      </c>
      <c r="Q187" t="n">
        <v>0</v>
      </c>
      <c r="R187" t="n">
        <v>0</v>
      </c>
      <c r="S187" t="n">
        <v>0</v>
      </c>
      <c r="T187" t="n">
        <v>0</v>
      </c>
      <c r="U187" s="2" t="inlineStr"/>
    </row>
    <row r="188" ht="15" customHeight="1">
      <c r="A188" t="inlineStr">
        <is>
          <t>A 1251-2023</t>
        </is>
      </c>
      <c r="B188" t="inlineStr">
        <is>
          <t>avverkningsanmälan</t>
        </is>
      </c>
      <c r="C188" t="inlineStr">
        <is>
          <t>Föryngringsavverkning</t>
        </is>
      </c>
      <c r="D188" s="1" t="n">
        <v>44936</v>
      </c>
      <c r="E188" s="1" t="n">
        <v>46217</v>
      </c>
      <c r="F188" t="inlineStr">
        <is>
          <t>SÖDERMANLANDS LÄN</t>
        </is>
      </c>
      <c r="G188" t="inlineStr">
        <is>
          <t>STRÄNGNÄS</t>
        </is>
      </c>
      <c r="I188" t="n">
        <v>6.1</v>
      </c>
      <c r="J188" t="n">
        <v>0</v>
      </c>
      <c r="K188" t="n">
        <v>0</v>
      </c>
      <c r="L188" t="n">
        <v>0</v>
      </c>
      <c r="M188" t="n">
        <v>0</v>
      </c>
      <c r="N188" t="n">
        <v>0</v>
      </c>
      <c r="O188" t="n">
        <v>0</v>
      </c>
      <c r="P188" t="n">
        <v>0</v>
      </c>
      <c r="Q188" t="n">
        <v>0</v>
      </c>
      <c r="R188" t="n">
        <v>0</v>
      </c>
      <c r="S188" t="n">
        <v>0</v>
      </c>
      <c r="T188" t="n">
        <v>0</v>
      </c>
      <c r="U188" s="2" t="inlineStr"/>
    </row>
    <row r="189" ht="15" customHeight="1">
      <c r="A189" t="inlineStr">
        <is>
          <t>A 9234-2023</t>
        </is>
      </c>
      <c r="B189" t="inlineStr">
        <is>
          <t>avverkningsanmälan</t>
        </is>
      </c>
      <c r="C189" t="inlineStr">
        <is>
          <t>Föryngringsavverkning</t>
        </is>
      </c>
      <c r="D189" s="1" t="n">
        <v>44980</v>
      </c>
      <c r="E189" s="1" t="n">
        <v>46217</v>
      </c>
      <c r="F189" t="inlineStr">
        <is>
          <t>SÖDERMANLANDS LÄN</t>
        </is>
      </c>
      <c r="G189" t="inlineStr">
        <is>
          <t>STRÄNGNÄS</t>
        </is>
      </c>
      <c r="I189" t="n">
        <v>3.7</v>
      </c>
      <c r="J189" t="n">
        <v>0</v>
      </c>
      <c r="K189" t="n">
        <v>0</v>
      </c>
      <c r="L189" t="n">
        <v>0</v>
      </c>
      <c r="M189" t="n">
        <v>0</v>
      </c>
      <c r="N189" t="n">
        <v>0</v>
      </c>
      <c r="O189" t="n">
        <v>0</v>
      </c>
      <c r="P189" t="n">
        <v>0</v>
      </c>
      <c r="Q189" t="n">
        <v>0</v>
      </c>
      <c r="R189" t="n">
        <v>0</v>
      </c>
      <c r="S189" t="n">
        <v>0</v>
      </c>
      <c r="T189" t="n">
        <v>0</v>
      </c>
      <c r="U189" s="2" t="inlineStr"/>
    </row>
    <row r="190" ht="15" customHeight="1">
      <c r="A190" t="inlineStr">
        <is>
          <t>A 42750-2023</t>
        </is>
      </c>
      <c r="B190" t="inlineStr">
        <is>
          <t>avverkningsanmälan</t>
        </is>
      </c>
      <c r="C190" t="inlineStr">
        <is>
          <t>Föryngringsavverkning</t>
        </is>
      </c>
      <c r="D190" s="1" t="n">
        <v>45177</v>
      </c>
      <c r="E190" s="1" t="n">
        <v>46217</v>
      </c>
      <c r="F190" t="inlineStr">
        <is>
          <t>SÖDERMANLANDS LÄN</t>
        </is>
      </c>
      <c r="G190" t="inlineStr">
        <is>
          <t>STRÄNGNÄS</t>
        </is>
      </c>
      <c r="H190" t="inlineStr">
        <is>
          <t>Övriga statliga verk och myndigheter</t>
        </is>
      </c>
      <c r="I190" t="n">
        <v>3.6</v>
      </c>
      <c r="J190" t="n">
        <v>0</v>
      </c>
      <c r="K190" t="n">
        <v>0</v>
      </c>
      <c r="L190" t="n">
        <v>0</v>
      </c>
      <c r="M190" t="n">
        <v>0</v>
      </c>
      <c r="N190" t="n">
        <v>0</v>
      </c>
      <c r="O190" t="n">
        <v>0</v>
      </c>
      <c r="P190" t="n">
        <v>0</v>
      </c>
      <c r="Q190" t="n">
        <v>0</v>
      </c>
      <c r="R190" t="n">
        <v>0</v>
      </c>
      <c r="S190" t="n">
        <v>0</v>
      </c>
      <c r="T190" t="n">
        <v>0</v>
      </c>
      <c r="U190" s="2" t="inlineStr"/>
    </row>
    <row r="191" ht="15" customHeight="1">
      <c r="A191" t="inlineStr">
        <is>
          <t>A 28108-2026</t>
        </is>
      </c>
      <c r="B191" t="inlineStr">
        <is>
          <t>avverkningsanmälan</t>
        </is>
      </c>
      <c r="C191" t="inlineStr">
        <is>
          <t>Avverkning för annat ändamål</t>
        </is>
      </c>
      <c r="D191" s="1" t="n">
        <v>46195</v>
      </c>
      <c r="E191" s="1" t="n">
        <v>46217</v>
      </c>
      <c r="F191" t="inlineStr">
        <is>
          <t>SÖDERMANLANDS LÄN</t>
        </is>
      </c>
      <c r="G191" t="inlineStr">
        <is>
          <t>STRÄNGNÄS</t>
        </is>
      </c>
      <c r="H191" t="inlineStr">
        <is>
          <t>Övriga Aktiebolag</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65160-2023</t>
        </is>
      </c>
      <c r="B192" t="inlineStr">
        <is>
          <t>avverkningsanmälan</t>
        </is>
      </c>
      <c r="C192" t="inlineStr">
        <is>
          <t>Föryngringsavverkning</t>
        </is>
      </c>
      <c r="D192" s="1" t="n">
        <v>45288</v>
      </c>
      <c r="E192" s="1" t="n">
        <v>46217</v>
      </c>
      <c r="F192" t="inlineStr">
        <is>
          <t>SÖDERMANLANDS LÄN</t>
        </is>
      </c>
      <c r="G192" t="inlineStr">
        <is>
          <t>STRÄNGNÄS</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65163-2023</t>
        </is>
      </c>
      <c r="B193" t="inlineStr">
        <is>
          <t>avverkningsanmälan</t>
        </is>
      </c>
      <c r="C193" t="inlineStr">
        <is>
          <t>Föryngringsavverkning</t>
        </is>
      </c>
      <c r="D193" s="1" t="n">
        <v>45288</v>
      </c>
      <c r="E193" s="1" t="n">
        <v>46217</v>
      </c>
      <c r="F193" t="inlineStr">
        <is>
          <t>SÖDERMANLANDS LÄN</t>
        </is>
      </c>
      <c r="G193" t="inlineStr">
        <is>
          <t>STRÄNGNÄS</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41231-2025</t>
        </is>
      </c>
      <c r="B194" t="inlineStr">
        <is>
          <t>avverkningsanmälan</t>
        </is>
      </c>
      <c r="C194" t="inlineStr">
        <is>
          <t>Avverkning för annat ändamål</t>
        </is>
      </c>
      <c r="D194" s="1" t="n">
        <v>45898</v>
      </c>
      <c r="E194" s="1" t="n">
        <v>46217</v>
      </c>
      <c r="F194" t="inlineStr">
        <is>
          <t>SÖDERMANLANDS LÄN</t>
        </is>
      </c>
      <c r="G194" t="inlineStr">
        <is>
          <t>STRÄNGNÄS</t>
        </is>
      </c>
      <c r="I194" t="n">
        <v>5.3</v>
      </c>
      <c r="J194" t="n">
        <v>0</v>
      </c>
      <c r="K194" t="n">
        <v>0</v>
      </c>
      <c r="L194" t="n">
        <v>0</v>
      </c>
      <c r="M194" t="n">
        <v>0</v>
      </c>
      <c r="N194" t="n">
        <v>0</v>
      </c>
      <c r="O194" t="n">
        <v>0</v>
      </c>
      <c r="P194" t="n">
        <v>0</v>
      </c>
      <c r="Q194" t="n">
        <v>0</v>
      </c>
      <c r="R194" t="n">
        <v>0</v>
      </c>
      <c r="S194" t="n">
        <v>0</v>
      </c>
      <c r="T194" t="n">
        <v>0</v>
      </c>
      <c r="U194" s="2" t="inlineStr"/>
    </row>
    <row r="195" ht="15" customHeight="1">
      <c r="A195" t="inlineStr">
        <is>
          <t>A 61656-2023</t>
        </is>
      </c>
      <c r="B195" t="inlineStr">
        <is>
          <t>avverkningsanmälan</t>
        </is>
      </c>
      <c r="C195" t="inlineStr">
        <is>
          <t>Föryngringsavverkning</t>
        </is>
      </c>
      <c r="D195" s="1" t="n">
        <v>45265</v>
      </c>
      <c r="E195" s="1" t="n">
        <v>46217</v>
      </c>
      <c r="F195" t="inlineStr">
        <is>
          <t>SÖDERMANLANDS LÄN</t>
        </is>
      </c>
      <c r="G195" t="inlineStr">
        <is>
          <t>STRÄNGNÄS</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62988-2025</t>
        </is>
      </c>
      <c r="B196" t="inlineStr">
        <is>
          <t>avverkningsanmälan</t>
        </is>
      </c>
      <c r="C196" t="inlineStr">
        <is>
          <t>Föryngringsavverkning</t>
        </is>
      </c>
      <c r="D196" s="1" t="n">
        <v>46009</v>
      </c>
      <c r="E196" s="1" t="n">
        <v>46217</v>
      </c>
      <c r="F196" t="inlineStr">
        <is>
          <t>SÖDERMANLANDS LÄN</t>
        </is>
      </c>
      <c r="G196" t="inlineStr">
        <is>
          <t>STRÄNGNÄS</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65161-2023</t>
        </is>
      </c>
      <c r="B197" t="inlineStr">
        <is>
          <t>avverkningsanmälan</t>
        </is>
      </c>
      <c r="C197" t="inlineStr">
        <is>
          <t>Föryngringsavverkning</t>
        </is>
      </c>
      <c r="D197" s="1" t="n">
        <v>45288</v>
      </c>
      <c r="E197" s="1" t="n">
        <v>46217</v>
      </c>
      <c r="F197" t="inlineStr">
        <is>
          <t>SÖDERMANLANDS LÄN</t>
        </is>
      </c>
      <c r="G197" t="inlineStr">
        <is>
          <t>STRÄNGNÄS</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8493-2022</t>
        </is>
      </c>
      <c r="B198" t="inlineStr">
        <is>
          <t>avverkningsanmälan</t>
        </is>
      </c>
      <c r="C198" t="inlineStr">
        <is>
          <t>Föryngringsavverkning</t>
        </is>
      </c>
      <c r="D198" s="1" t="n">
        <v>44613</v>
      </c>
      <c r="E198" s="1" t="n">
        <v>46217</v>
      </c>
      <c r="F198" t="inlineStr">
        <is>
          <t>SÖDERMANLANDS LÄN</t>
        </is>
      </c>
      <c r="G198" t="inlineStr">
        <is>
          <t>STRÄNGNÄS</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41234-2025</t>
        </is>
      </c>
      <c r="B199" t="inlineStr">
        <is>
          <t>avverkningsanmälan</t>
        </is>
      </c>
      <c r="C199" t="inlineStr">
        <is>
          <t>Avverkning för annat ändamål</t>
        </is>
      </c>
      <c r="D199" s="1" t="n">
        <v>45898</v>
      </c>
      <c r="E199" s="1" t="n">
        <v>46217</v>
      </c>
      <c r="F199" t="inlineStr">
        <is>
          <t>SÖDERMANLANDS LÄN</t>
        </is>
      </c>
      <c r="G199" t="inlineStr">
        <is>
          <t>STRÄNGNÄS</t>
        </is>
      </c>
      <c r="I199" t="n">
        <v>3.2</v>
      </c>
      <c r="J199" t="n">
        <v>0</v>
      </c>
      <c r="K199" t="n">
        <v>0</v>
      </c>
      <c r="L199" t="n">
        <v>0</v>
      </c>
      <c r="M199" t="n">
        <v>0</v>
      </c>
      <c r="N199" t="n">
        <v>0</v>
      </c>
      <c r="O199" t="n">
        <v>0</v>
      </c>
      <c r="P199" t="n">
        <v>0</v>
      </c>
      <c r="Q199" t="n">
        <v>0</v>
      </c>
      <c r="R199" t="n">
        <v>0</v>
      </c>
      <c r="S199" t="n">
        <v>0</v>
      </c>
      <c r="T199" t="n">
        <v>0</v>
      </c>
      <c r="U199" s="2" t="inlineStr"/>
    </row>
    <row r="200" ht="15" customHeight="1">
      <c r="A200" t="inlineStr">
        <is>
          <t>A 1018-2026</t>
        </is>
      </c>
      <c r="B200" t="inlineStr">
        <is>
          <t>avverkningsanmälan</t>
        </is>
      </c>
      <c r="C200" t="inlineStr">
        <is>
          <t>Föryngringsavverkning</t>
        </is>
      </c>
      <c r="D200" s="1" t="n">
        <v>46030</v>
      </c>
      <c r="E200" s="1" t="n">
        <v>46217</v>
      </c>
      <c r="F200" t="inlineStr">
        <is>
          <t>SÖDERMANLANDS LÄN</t>
        </is>
      </c>
      <c r="G200" t="inlineStr">
        <is>
          <t>STRÄNGNÄS</t>
        </is>
      </c>
      <c r="I200" t="n">
        <v>4.7</v>
      </c>
      <c r="J200" t="n">
        <v>0</v>
      </c>
      <c r="K200" t="n">
        <v>0</v>
      </c>
      <c r="L200" t="n">
        <v>0</v>
      </c>
      <c r="M200" t="n">
        <v>0</v>
      </c>
      <c r="N200" t="n">
        <v>0</v>
      </c>
      <c r="O200" t="n">
        <v>0</v>
      </c>
      <c r="P200" t="n">
        <v>0</v>
      </c>
      <c r="Q200" t="n">
        <v>0</v>
      </c>
      <c r="R200" t="n">
        <v>0</v>
      </c>
      <c r="S200" t="n">
        <v>0</v>
      </c>
      <c r="T200" t="n">
        <v>0</v>
      </c>
      <c r="U200" s="2" t="inlineStr"/>
    </row>
    <row r="201" ht="15" customHeight="1">
      <c r="A201" t="inlineStr">
        <is>
          <t>A 1108-2026</t>
        </is>
      </c>
      <c r="B201" t="inlineStr">
        <is>
          <t>avverkningsanmälan</t>
        </is>
      </c>
      <c r="C201" t="inlineStr">
        <is>
          <t>Föryngringsavverkning</t>
        </is>
      </c>
      <c r="D201" s="1" t="n">
        <v>46030</v>
      </c>
      <c r="E201" s="1" t="n">
        <v>46217</v>
      </c>
      <c r="F201" t="inlineStr">
        <is>
          <t>SÖDERMANLANDS LÄN</t>
        </is>
      </c>
      <c r="G201" t="inlineStr">
        <is>
          <t>STRÄNGNÄS</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1209-2026</t>
        </is>
      </c>
      <c r="B202" t="inlineStr">
        <is>
          <t>avverkningsanmälan</t>
        </is>
      </c>
      <c r="C202" t="inlineStr">
        <is>
          <t>Föryngringsavverkning</t>
        </is>
      </c>
      <c r="D202" s="1" t="n">
        <v>46031</v>
      </c>
      <c r="E202" s="1" t="n">
        <v>46217</v>
      </c>
      <c r="F202" t="inlineStr">
        <is>
          <t>SÖDERMANLANDS LÄN</t>
        </is>
      </c>
      <c r="G202" t="inlineStr">
        <is>
          <t>STRÄNGNÄS</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22530-2023</t>
        </is>
      </c>
      <c r="B203" t="inlineStr">
        <is>
          <t>avverkningsanmälan</t>
        </is>
      </c>
      <c r="C203" t="inlineStr">
        <is>
          <t>Föryngringsavverkning</t>
        </is>
      </c>
      <c r="D203" s="1" t="n">
        <v>45071</v>
      </c>
      <c r="E203" s="1" t="n">
        <v>46217</v>
      </c>
      <c r="F203" t="inlineStr">
        <is>
          <t>SÖDERMANLANDS LÄN</t>
        </is>
      </c>
      <c r="G203" t="inlineStr">
        <is>
          <t>STRÄNGNÄS</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1744-2026</t>
        </is>
      </c>
      <c r="B204" t="inlineStr">
        <is>
          <t>avverkningsanmälan</t>
        </is>
      </c>
      <c r="C204" t="inlineStr">
        <is>
          <t>Föryngringsavverkning</t>
        </is>
      </c>
      <c r="D204" s="1" t="n">
        <v>46034</v>
      </c>
      <c r="E204" s="1" t="n">
        <v>46217</v>
      </c>
      <c r="F204" t="inlineStr">
        <is>
          <t>SÖDERMANLANDS LÄN</t>
        </is>
      </c>
      <c r="G204" t="inlineStr">
        <is>
          <t>STRÄNGNÄS</t>
        </is>
      </c>
      <c r="I204" t="n">
        <v>3</v>
      </c>
      <c r="J204" t="n">
        <v>0</v>
      </c>
      <c r="K204" t="n">
        <v>0</v>
      </c>
      <c r="L204" t="n">
        <v>0</v>
      </c>
      <c r="M204" t="n">
        <v>0</v>
      </c>
      <c r="N204" t="n">
        <v>0</v>
      </c>
      <c r="O204" t="n">
        <v>0</v>
      </c>
      <c r="P204" t="n">
        <v>0</v>
      </c>
      <c r="Q204" t="n">
        <v>0</v>
      </c>
      <c r="R204" t="n">
        <v>0</v>
      </c>
      <c r="S204" t="n">
        <v>0</v>
      </c>
      <c r="T204" t="n">
        <v>0</v>
      </c>
      <c r="U204" s="2" t="inlineStr"/>
    </row>
    <row r="205" ht="15" customHeight="1">
      <c r="A205" t="inlineStr">
        <is>
          <t>A 1680-2026</t>
        </is>
      </c>
      <c r="B205" t="inlineStr">
        <is>
          <t>avverkningsanmälan</t>
        </is>
      </c>
      <c r="C205" t="inlineStr">
        <is>
          <t>Föryngringsavverkning</t>
        </is>
      </c>
      <c r="D205" s="1" t="n">
        <v>46034</v>
      </c>
      <c r="E205" s="1" t="n">
        <v>46217</v>
      </c>
      <c r="F205" t="inlineStr">
        <is>
          <t>SÖDERMANLANDS LÄN</t>
        </is>
      </c>
      <c r="G205" t="inlineStr">
        <is>
          <t>STRÄNGNÄS</t>
        </is>
      </c>
      <c r="I205" t="n">
        <v>4.9</v>
      </c>
      <c r="J205" t="n">
        <v>0</v>
      </c>
      <c r="K205" t="n">
        <v>0</v>
      </c>
      <c r="L205" t="n">
        <v>0</v>
      </c>
      <c r="M205" t="n">
        <v>0</v>
      </c>
      <c r="N205" t="n">
        <v>0</v>
      </c>
      <c r="O205" t="n">
        <v>0</v>
      </c>
      <c r="P205" t="n">
        <v>0</v>
      </c>
      <c r="Q205" t="n">
        <v>0</v>
      </c>
      <c r="R205" t="n">
        <v>0</v>
      </c>
      <c r="S205" t="n">
        <v>0</v>
      </c>
      <c r="T205" t="n">
        <v>0</v>
      </c>
      <c r="U205" s="2" t="inlineStr"/>
    </row>
    <row r="206" ht="15" customHeight="1">
      <c r="A206" t="inlineStr">
        <is>
          <t>A 1553-2026</t>
        </is>
      </c>
      <c r="B206" t="inlineStr">
        <is>
          <t>avverkningsanmälan</t>
        </is>
      </c>
      <c r="C206" t="inlineStr">
        <is>
          <t>Föryngringsavverkning</t>
        </is>
      </c>
      <c r="D206" s="1" t="n">
        <v>46034</v>
      </c>
      <c r="E206" s="1" t="n">
        <v>46217</v>
      </c>
      <c r="F206" t="inlineStr">
        <is>
          <t>SÖDERMANLANDS LÄN</t>
        </is>
      </c>
      <c r="G206" t="inlineStr">
        <is>
          <t>STRÄNGNÄS</t>
        </is>
      </c>
      <c r="I206" t="n">
        <v>3.3</v>
      </c>
      <c r="J206" t="n">
        <v>0</v>
      </c>
      <c r="K206" t="n">
        <v>0</v>
      </c>
      <c r="L206" t="n">
        <v>0</v>
      </c>
      <c r="M206" t="n">
        <v>0</v>
      </c>
      <c r="N206" t="n">
        <v>0</v>
      </c>
      <c r="O206" t="n">
        <v>0</v>
      </c>
      <c r="P206" t="n">
        <v>0</v>
      </c>
      <c r="Q206" t="n">
        <v>0</v>
      </c>
      <c r="R206" t="n">
        <v>0</v>
      </c>
      <c r="S206" t="n">
        <v>0</v>
      </c>
      <c r="T206" t="n">
        <v>0</v>
      </c>
      <c r="U206" s="2" t="inlineStr"/>
    </row>
    <row r="207" ht="15" customHeight="1">
      <c r="A207" t="inlineStr">
        <is>
          <t>A 1313-2026</t>
        </is>
      </c>
      <c r="B207" t="inlineStr">
        <is>
          <t>avverkningsanmälan</t>
        </is>
      </c>
      <c r="C207" t="inlineStr">
        <is>
          <t>Föryngringsavverkning</t>
        </is>
      </c>
      <c r="D207" s="1" t="n">
        <v>46031</v>
      </c>
      <c r="E207" s="1" t="n">
        <v>46217</v>
      </c>
      <c r="F207" t="inlineStr">
        <is>
          <t>SÖDERMANLANDS LÄN</t>
        </is>
      </c>
      <c r="G207" t="inlineStr">
        <is>
          <t>STRÄNGNÄS</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1511-2026</t>
        </is>
      </c>
      <c r="B208" t="inlineStr">
        <is>
          <t>avverkningsanmälan</t>
        </is>
      </c>
      <c r="C208" t="inlineStr">
        <is>
          <t>Föryngringsavverkning</t>
        </is>
      </c>
      <c r="D208" s="1" t="n">
        <v>46034</v>
      </c>
      <c r="E208" s="1" t="n">
        <v>46217</v>
      </c>
      <c r="F208" t="inlineStr">
        <is>
          <t>SÖDERMANLANDS LÄN</t>
        </is>
      </c>
      <c r="G208" t="inlineStr">
        <is>
          <t>STRÄNGNÄS</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1496-2026</t>
        </is>
      </c>
      <c r="B209" t="inlineStr">
        <is>
          <t>avverkningsanmälan</t>
        </is>
      </c>
      <c r="C209" t="inlineStr">
        <is>
          <t>Föryngringsavverkning</t>
        </is>
      </c>
      <c r="D209" s="1" t="n">
        <v>46034</v>
      </c>
      <c r="E209" s="1" t="n">
        <v>46217</v>
      </c>
      <c r="F209" t="inlineStr">
        <is>
          <t>SÖDERMANLANDS LÄN</t>
        </is>
      </c>
      <c r="G209" t="inlineStr">
        <is>
          <t>STRÄNGNÄS</t>
        </is>
      </c>
      <c r="I209" t="n">
        <v>6.2</v>
      </c>
      <c r="J209" t="n">
        <v>0</v>
      </c>
      <c r="K209" t="n">
        <v>0</v>
      </c>
      <c r="L209" t="n">
        <v>0</v>
      </c>
      <c r="M209" t="n">
        <v>0</v>
      </c>
      <c r="N209" t="n">
        <v>0</v>
      </c>
      <c r="O209" t="n">
        <v>0</v>
      </c>
      <c r="P209" t="n">
        <v>0</v>
      </c>
      <c r="Q209" t="n">
        <v>0</v>
      </c>
      <c r="R209" t="n">
        <v>0</v>
      </c>
      <c r="S209" t="n">
        <v>0</v>
      </c>
      <c r="T209" t="n">
        <v>0</v>
      </c>
      <c r="U209" s="2" t="inlineStr"/>
    </row>
    <row r="210" ht="15" customHeight="1">
      <c r="A210" t="inlineStr">
        <is>
          <t>A 1624-2026</t>
        </is>
      </c>
      <c r="B210" t="inlineStr">
        <is>
          <t>avverkningsanmälan</t>
        </is>
      </c>
      <c r="C210" t="inlineStr">
        <is>
          <t>Föryngringsavverkning</t>
        </is>
      </c>
      <c r="D210" s="1" t="n">
        <v>46034</v>
      </c>
      <c r="E210" s="1" t="n">
        <v>46217</v>
      </c>
      <c r="F210" t="inlineStr">
        <is>
          <t>SÖDERMANLANDS LÄN</t>
        </is>
      </c>
      <c r="G210" t="inlineStr">
        <is>
          <t>STRÄNGNÄS</t>
        </is>
      </c>
      <c r="I210" t="n">
        <v>3.8</v>
      </c>
      <c r="J210" t="n">
        <v>0</v>
      </c>
      <c r="K210" t="n">
        <v>0</v>
      </c>
      <c r="L210" t="n">
        <v>0</v>
      </c>
      <c r="M210" t="n">
        <v>0</v>
      </c>
      <c r="N210" t="n">
        <v>0</v>
      </c>
      <c r="O210" t="n">
        <v>0</v>
      </c>
      <c r="P210" t="n">
        <v>0</v>
      </c>
      <c r="Q210" t="n">
        <v>0</v>
      </c>
      <c r="R210" t="n">
        <v>0</v>
      </c>
      <c r="S210" t="n">
        <v>0</v>
      </c>
      <c r="T210" t="n">
        <v>0</v>
      </c>
      <c r="U210" s="2" t="inlineStr"/>
    </row>
    <row r="211" ht="15" customHeight="1">
      <c r="A211" t="inlineStr">
        <is>
          <t>A 1660-2026</t>
        </is>
      </c>
      <c r="B211" t="inlineStr">
        <is>
          <t>avverkningsanmälan</t>
        </is>
      </c>
      <c r="C211" t="inlineStr">
        <is>
          <t>Föryngringsavverkning</t>
        </is>
      </c>
      <c r="D211" s="1" t="n">
        <v>46034</v>
      </c>
      <c r="E211" s="1" t="n">
        <v>46217</v>
      </c>
      <c r="F211" t="inlineStr">
        <is>
          <t>SÖDERMANLANDS LÄN</t>
        </is>
      </c>
      <c r="G211" t="inlineStr">
        <is>
          <t>STRÄNGNÄS</t>
        </is>
      </c>
      <c r="I211" t="n">
        <v>4.4</v>
      </c>
      <c r="J211" t="n">
        <v>0</v>
      </c>
      <c r="K211" t="n">
        <v>0</v>
      </c>
      <c r="L211" t="n">
        <v>0</v>
      </c>
      <c r="M211" t="n">
        <v>0</v>
      </c>
      <c r="N211" t="n">
        <v>0</v>
      </c>
      <c r="O211" t="n">
        <v>0</v>
      </c>
      <c r="P211" t="n">
        <v>0</v>
      </c>
      <c r="Q211" t="n">
        <v>0</v>
      </c>
      <c r="R211" t="n">
        <v>0</v>
      </c>
      <c r="S211" t="n">
        <v>0</v>
      </c>
      <c r="T211" t="n">
        <v>0</v>
      </c>
      <c r="U211" s="2" t="inlineStr"/>
    </row>
    <row r="212" ht="15" customHeight="1">
      <c r="A212" t="inlineStr">
        <is>
          <t>A 1718-2026</t>
        </is>
      </c>
      <c r="B212" t="inlineStr">
        <is>
          <t>avverkningsanmälan</t>
        </is>
      </c>
      <c r="C212" t="inlineStr">
        <is>
          <t>Föryngringsavverkning</t>
        </is>
      </c>
      <c r="D212" s="1" t="n">
        <v>46034</v>
      </c>
      <c r="E212" s="1" t="n">
        <v>46217</v>
      </c>
      <c r="F212" t="inlineStr">
        <is>
          <t>SÖDERMANLANDS LÄN</t>
        </is>
      </c>
      <c r="G212" t="inlineStr">
        <is>
          <t>STRÄNGNÄS</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1757-2026</t>
        </is>
      </c>
      <c r="B213" t="inlineStr">
        <is>
          <t>avverkningsanmälan</t>
        </is>
      </c>
      <c r="C213" t="inlineStr">
        <is>
          <t>Föryngringsavverkning</t>
        </is>
      </c>
      <c r="D213" s="1" t="n">
        <v>46034</v>
      </c>
      <c r="E213" s="1" t="n">
        <v>46217</v>
      </c>
      <c r="F213" t="inlineStr">
        <is>
          <t>SÖDERMANLANDS LÄN</t>
        </is>
      </c>
      <c r="G213" t="inlineStr">
        <is>
          <t>STRÄNGNÄS</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1892-2026</t>
        </is>
      </c>
      <c r="B214" t="inlineStr">
        <is>
          <t>avverkningsanmälan</t>
        </is>
      </c>
      <c r="C214" t="inlineStr">
        <is>
          <t>Föryngringsavverkning</t>
        </is>
      </c>
      <c r="D214" s="1" t="n">
        <v>46035</v>
      </c>
      <c r="E214" s="1" t="n">
        <v>46217</v>
      </c>
      <c r="F214" t="inlineStr">
        <is>
          <t>SÖDERMANLANDS LÄN</t>
        </is>
      </c>
      <c r="G214" t="inlineStr">
        <is>
          <t>STRÄNGNÄS</t>
        </is>
      </c>
      <c r="I214" t="n">
        <v>7.2</v>
      </c>
      <c r="J214" t="n">
        <v>0</v>
      </c>
      <c r="K214" t="n">
        <v>0</v>
      </c>
      <c r="L214" t="n">
        <v>0</v>
      </c>
      <c r="M214" t="n">
        <v>0</v>
      </c>
      <c r="N214" t="n">
        <v>0</v>
      </c>
      <c r="O214" t="n">
        <v>0</v>
      </c>
      <c r="P214" t="n">
        <v>0</v>
      </c>
      <c r="Q214" t="n">
        <v>0</v>
      </c>
      <c r="R214" t="n">
        <v>0</v>
      </c>
      <c r="S214" t="n">
        <v>0</v>
      </c>
      <c r="T214" t="n">
        <v>0</v>
      </c>
      <c r="U214" s="2" t="inlineStr"/>
    </row>
    <row r="215" ht="15" customHeight="1">
      <c r="A215" t="inlineStr">
        <is>
          <t>A 2268-2026</t>
        </is>
      </c>
      <c r="B215" t="inlineStr">
        <is>
          <t>avverkningsanmälan</t>
        </is>
      </c>
      <c r="C215" t="inlineStr">
        <is>
          <t>Föryngringsavverkning</t>
        </is>
      </c>
      <c r="D215" s="1" t="n">
        <v>46036</v>
      </c>
      <c r="E215" s="1" t="n">
        <v>46217</v>
      </c>
      <c r="F215" t="inlineStr">
        <is>
          <t>SÖDERMANLANDS LÄN</t>
        </is>
      </c>
      <c r="G215" t="inlineStr">
        <is>
          <t>STRÄNGNÄS</t>
        </is>
      </c>
      <c r="I215" t="n">
        <v>2</v>
      </c>
      <c r="J215" t="n">
        <v>0</v>
      </c>
      <c r="K215" t="n">
        <v>0</v>
      </c>
      <c r="L215" t="n">
        <v>0</v>
      </c>
      <c r="M215" t="n">
        <v>0</v>
      </c>
      <c r="N215" t="n">
        <v>0</v>
      </c>
      <c r="O215" t="n">
        <v>0</v>
      </c>
      <c r="P215" t="n">
        <v>0</v>
      </c>
      <c r="Q215" t="n">
        <v>0</v>
      </c>
      <c r="R215" t="n">
        <v>0</v>
      </c>
      <c r="S215" t="n">
        <v>0</v>
      </c>
      <c r="T215" t="n">
        <v>0</v>
      </c>
      <c r="U215" s="2" t="inlineStr"/>
    </row>
    <row r="216" ht="15" customHeight="1">
      <c r="A216" t="inlineStr">
        <is>
          <t>A 2007-2026</t>
        </is>
      </c>
      <c r="B216" t="inlineStr">
        <is>
          <t>avverkningsanmälan</t>
        </is>
      </c>
      <c r="C216" t="inlineStr">
        <is>
          <t>Föryngringsavverkning</t>
        </is>
      </c>
      <c r="D216" s="1" t="n">
        <v>46035</v>
      </c>
      <c r="E216" s="1" t="n">
        <v>46217</v>
      </c>
      <c r="F216" t="inlineStr">
        <is>
          <t>SÖDERMANLANDS LÄN</t>
        </is>
      </c>
      <c r="G216" t="inlineStr">
        <is>
          <t>STRÄNGNÄS</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2328-2026</t>
        </is>
      </c>
      <c r="B217" t="inlineStr">
        <is>
          <t>avverkningsanmälan</t>
        </is>
      </c>
      <c r="C217" t="inlineStr">
        <is>
          <t>Föryngringsavverkning</t>
        </is>
      </c>
      <c r="D217" s="1" t="n">
        <v>46036</v>
      </c>
      <c r="E217" s="1" t="n">
        <v>46217</v>
      </c>
      <c r="F217" t="inlineStr">
        <is>
          <t>SÖDERMANLANDS LÄN</t>
        </is>
      </c>
      <c r="G217" t="inlineStr">
        <is>
          <t>STRÄNGNÄS</t>
        </is>
      </c>
      <c r="I217" t="n">
        <v>5.2</v>
      </c>
      <c r="J217" t="n">
        <v>0</v>
      </c>
      <c r="K217" t="n">
        <v>0</v>
      </c>
      <c r="L217" t="n">
        <v>0</v>
      </c>
      <c r="M217" t="n">
        <v>0</v>
      </c>
      <c r="N217" t="n">
        <v>0</v>
      </c>
      <c r="O217" t="n">
        <v>0</v>
      </c>
      <c r="P217" t="n">
        <v>0</v>
      </c>
      <c r="Q217" t="n">
        <v>0</v>
      </c>
      <c r="R217" t="n">
        <v>0</v>
      </c>
      <c r="S217" t="n">
        <v>0</v>
      </c>
      <c r="T217" t="n">
        <v>0</v>
      </c>
      <c r="U217" s="2" t="inlineStr"/>
    </row>
    <row r="218" ht="15" customHeight="1">
      <c r="A218" t="inlineStr">
        <is>
          <t>A 2256-2026</t>
        </is>
      </c>
      <c r="B218" t="inlineStr">
        <is>
          <t>avverkningsanmälan</t>
        </is>
      </c>
      <c r="C218" t="inlineStr">
        <is>
          <t>Föryngringsavverkning</t>
        </is>
      </c>
      <c r="D218" s="1" t="n">
        <v>46036</v>
      </c>
      <c r="E218" s="1" t="n">
        <v>46217</v>
      </c>
      <c r="F218" t="inlineStr">
        <is>
          <t>SÖDERMANLANDS LÄN</t>
        </is>
      </c>
      <c r="G218" t="inlineStr">
        <is>
          <t>STRÄNGNÄS</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2302-2026</t>
        </is>
      </c>
      <c r="B219" t="inlineStr">
        <is>
          <t>avverkningsanmälan</t>
        </is>
      </c>
      <c r="C219" t="inlineStr">
        <is>
          <t>Föryngringsavverkning</t>
        </is>
      </c>
      <c r="D219" s="1" t="n">
        <v>46036</v>
      </c>
      <c r="E219" s="1" t="n">
        <v>46217</v>
      </c>
      <c r="F219" t="inlineStr">
        <is>
          <t>SÖDERMANLANDS LÄN</t>
        </is>
      </c>
      <c r="G219" t="inlineStr">
        <is>
          <t>STRÄNGNÄS</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2368-2026</t>
        </is>
      </c>
      <c r="B220" t="inlineStr">
        <is>
          <t>avverkningsanmälan</t>
        </is>
      </c>
      <c r="C220" t="inlineStr">
        <is>
          <t>Föryngringsavverkning</t>
        </is>
      </c>
      <c r="D220" s="1" t="n">
        <v>46036</v>
      </c>
      <c r="E220" s="1" t="n">
        <v>46217</v>
      </c>
      <c r="F220" t="inlineStr">
        <is>
          <t>SÖDERMANLANDS LÄN</t>
        </is>
      </c>
      <c r="G220" t="inlineStr">
        <is>
          <t>STRÄNGNÄS</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1915-2026</t>
        </is>
      </c>
      <c r="B221" t="inlineStr">
        <is>
          <t>avverkningsanmälan</t>
        </is>
      </c>
      <c r="C221" t="inlineStr">
        <is>
          <t>Föryngringsavverkning</t>
        </is>
      </c>
      <c r="D221" s="1" t="n">
        <v>46035</v>
      </c>
      <c r="E221" s="1" t="n">
        <v>46217</v>
      </c>
      <c r="F221" t="inlineStr">
        <is>
          <t>SÖDERMANLANDS LÄN</t>
        </is>
      </c>
      <c r="G221" t="inlineStr">
        <is>
          <t>STRÄNGNÄS</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2636-2026</t>
        </is>
      </c>
      <c r="B222" t="inlineStr">
        <is>
          <t>avverkningsanmälan</t>
        </is>
      </c>
      <c r="C222" t="inlineStr">
        <is>
          <t>Föryngringsavverkning</t>
        </is>
      </c>
      <c r="D222" s="1" t="n">
        <v>46037</v>
      </c>
      <c r="E222" s="1" t="n">
        <v>46217</v>
      </c>
      <c r="F222" t="inlineStr">
        <is>
          <t>SÖDERMANLANDS LÄN</t>
        </is>
      </c>
      <c r="G222" t="inlineStr">
        <is>
          <t>STRÄNGNÄS</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52452-2024</t>
        </is>
      </c>
      <c r="B223" t="inlineStr">
        <is>
          <t>avverkningsanmälan</t>
        </is>
      </c>
      <c r="C223" t="inlineStr">
        <is>
          <t>Avverkning för annat ändamål</t>
        </is>
      </c>
      <c r="D223" s="1" t="n">
        <v>45609</v>
      </c>
      <c r="E223" s="1" t="n">
        <v>46217</v>
      </c>
      <c r="F223" t="inlineStr">
        <is>
          <t>SÖDERMANLANDS LÄN</t>
        </is>
      </c>
      <c r="G223" t="inlineStr">
        <is>
          <t>STRÄNGNÄS</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2468-2022</t>
        </is>
      </c>
      <c r="B224" t="inlineStr">
        <is>
          <t>avverkningsanmälan</t>
        </is>
      </c>
      <c r="C224" t="inlineStr">
        <is>
          <t>Föryngringsavverkning</t>
        </is>
      </c>
      <c r="D224" s="1" t="n">
        <v>44579</v>
      </c>
      <c r="E224" s="1" t="n">
        <v>46217</v>
      </c>
      <c r="F224" t="inlineStr">
        <is>
          <t>SÖDERMANLANDS LÄN</t>
        </is>
      </c>
      <c r="G224" t="inlineStr">
        <is>
          <t>STRÄNGNÄS</t>
        </is>
      </c>
      <c r="H224" t="inlineStr">
        <is>
          <t>Övriga Aktiebolag</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3207-2026</t>
        </is>
      </c>
      <c r="B225" t="inlineStr">
        <is>
          <t>avverkningsanmälan</t>
        </is>
      </c>
      <c r="C225" t="inlineStr">
        <is>
          <t>Föryngringsavverkning</t>
        </is>
      </c>
      <c r="D225" s="1" t="n">
        <v>46041</v>
      </c>
      <c r="E225" s="1" t="n">
        <v>46217</v>
      </c>
      <c r="F225" t="inlineStr">
        <is>
          <t>SÖDERMANLANDS LÄN</t>
        </is>
      </c>
      <c r="G225" t="inlineStr">
        <is>
          <t>STRÄNGNÄS</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3127-2026</t>
        </is>
      </c>
      <c r="B226" t="inlineStr">
        <is>
          <t>avverkningsanmälan</t>
        </is>
      </c>
      <c r="C226" t="inlineStr">
        <is>
          <t>Föryngringsavverkning</t>
        </is>
      </c>
      <c r="D226" s="1" t="n">
        <v>46041</v>
      </c>
      <c r="E226" s="1" t="n">
        <v>46217</v>
      </c>
      <c r="F226" t="inlineStr">
        <is>
          <t>SÖDERMANLANDS LÄN</t>
        </is>
      </c>
      <c r="G226" t="inlineStr">
        <is>
          <t>STRÄNGNÄS</t>
        </is>
      </c>
      <c r="I226" t="n">
        <v>3.3</v>
      </c>
      <c r="J226" t="n">
        <v>0</v>
      </c>
      <c r="K226" t="n">
        <v>0</v>
      </c>
      <c r="L226" t="n">
        <v>0</v>
      </c>
      <c r="M226" t="n">
        <v>0</v>
      </c>
      <c r="N226" t="n">
        <v>0</v>
      </c>
      <c r="O226" t="n">
        <v>0</v>
      </c>
      <c r="P226" t="n">
        <v>0</v>
      </c>
      <c r="Q226" t="n">
        <v>0</v>
      </c>
      <c r="R226" t="n">
        <v>0</v>
      </c>
      <c r="S226" t="n">
        <v>0</v>
      </c>
      <c r="T226" t="n">
        <v>0</v>
      </c>
      <c r="U226" s="2" t="inlineStr"/>
    </row>
    <row r="227" ht="15" customHeight="1">
      <c r="A227" t="inlineStr">
        <is>
          <t>A 57484-2025</t>
        </is>
      </c>
      <c r="B227" t="inlineStr">
        <is>
          <t>avverkningsanmälan</t>
        </is>
      </c>
      <c r="C227" t="inlineStr">
        <is>
          <t>Avverkning för annat ändamål</t>
        </is>
      </c>
      <c r="D227" s="1" t="n">
        <v>45980</v>
      </c>
      <c r="E227" s="1" t="n">
        <v>46217</v>
      </c>
      <c r="F227" t="inlineStr">
        <is>
          <t>SÖDERMANLANDS LÄN</t>
        </is>
      </c>
      <c r="G227" t="inlineStr">
        <is>
          <t>STRÄNGNÄS</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4151-2026</t>
        </is>
      </c>
      <c r="B228" t="inlineStr">
        <is>
          <t>avverkningsanmälan</t>
        </is>
      </c>
      <c r="C228" t="inlineStr">
        <is>
          <t>Föryngringsavverkning</t>
        </is>
      </c>
      <c r="D228" s="1" t="n">
        <v>46044</v>
      </c>
      <c r="E228" s="1" t="n">
        <v>46217</v>
      </c>
      <c r="F228" t="inlineStr">
        <is>
          <t>SÖDERMANLANDS LÄN</t>
        </is>
      </c>
      <c r="G228" t="inlineStr">
        <is>
          <t>STRÄNGNÄS</t>
        </is>
      </c>
      <c r="I228" t="n">
        <v>4.6</v>
      </c>
      <c r="J228" t="n">
        <v>0</v>
      </c>
      <c r="K228" t="n">
        <v>0</v>
      </c>
      <c r="L228" t="n">
        <v>0</v>
      </c>
      <c r="M228" t="n">
        <v>0</v>
      </c>
      <c r="N228" t="n">
        <v>0</v>
      </c>
      <c r="O228" t="n">
        <v>0</v>
      </c>
      <c r="P228" t="n">
        <v>0</v>
      </c>
      <c r="Q228" t="n">
        <v>0</v>
      </c>
      <c r="R228" t="n">
        <v>0</v>
      </c>
      <c r="S228" t="n">
        <v>0</v>
      </c>
      <c r="T228" t="n">
        <v>0</v>
      </c>
      <c r="U228" s="2" t="inlineStr"/>
    </row>
    <row r="229" ht="15" customHeight="1">
      <c r="A229" t="inlineStr">
        <is>
          <t>A 3971-2026</t>
        </is>
      </c>
      <c r="B229" t="inlineStr">
        <is>
          <t>avverkningsanmälan</t>
        </is>
      </c>
      <c r="C229" t="inlineStr">
        <is>
          <t>Föryngringsavverkning</t>
        </is>
      </c>
      <c r="D229" s="1" t="n">
        <v>46044</v>
      </c>
      <c r="E229" s="1" t="n">
        <v>46217</v>
      </c>
      <c r="F229" t="inlineStr">
        <is>
          <t>SÖDERMANLANDS LÄN</t>
        </is>
      </c>
      <c r="G229" t="inlineStr">
        <is>
          <t>STRÄNGNÄS</t>
        </is>
      </c>
      <c r="I229" t="n">
        <v>6.8</v>
      </c>
      <c r="J229" t="n">
        <v>0</v>
      </c>
      <c r="K229" t="n">
        <v>0</v>
      </c>
      <c r="L229" t="n">
        <v>0</v>
      </c>
      <c r="M229" t="n">
        <v>0</v>
      </c>
      <c r="N229" t="n">
        <v>0</v>
      </c>
      <c r="O229" t="n">
        <v>0</v>
      </c>
      <c r="P229" t="n">
        <v>0</v>
      </c>
      <c r="Q229" t="n">
        <v>0</v>
      </c>
      <c r="R229" t="n">
        <v>0</v>
      </c>
      <c r="S229" t="n">
        <v>0</v>
      </c>
      <c r="T229" t="n">
        <v>0</v>
      </c>
      <c r="U229" s="2" t="inlineStr"/>
    </row>
    <row r="230" ht="15" customHeight="1">
      <c r="A230" t="inlineStr">
        <is>
          <t>A 2497-2022</t>
        </is>
      </c>
      <c r="B230" t="inlineStr">
        <is>
          <t>avverkningsanmälan</t>
        </is>
      </c>
      <c r="C230" t="inlineStr">
        <is>
          <t>Föryngringsavverkning</t>
        </is>
      </c>
      <c r="D230" s="1" t="n">
        <v>44579</v>
      </c>
      <c r="E230" s="1" t="n">
        <v>46217</v>
      </c>
      <c r="F230" t="inlineStr">
        <is>
          <t>SÖDERMANLANDS LÄN</t>
        </is>
      </c>
      <c r="G230" t="inlineStr">
        <is>
          <t>STRÄNGNÄS</t>
        </is>
      </c>
      <c r="H230" t="inlineStr">
        <is>
          <t>Allmännings- och besparingsskogar</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4112-2026</t>
        </is>
      </c>
      <c r="B231" t="inlineStr">
        <is>
          <t>avverkningsanmälan</t>
        </is>
      </c>
      <c r="C231" t="inlineStr">
        <is>
          <t>Föryngringsavverkning</t>
        </is>
      </c>
      <c r="D231" s="1" t="n">
        <v>46044</v>
      </c>
      <c r="E231" s="1" t="n">
        <v>46217</v>
      </c>
      <c r="F231" t="inlineStr">
        <is>
          <t>SÖDERMANLANDS LÄN</t>
        </is>
      </c>
      <c r="G231" t="inlineStr">
        <is>
          <t>STRÄNGNÄS</t>
        </is>
      </c>
      <c r="I231" t="n">
        <v>3.8</v>
      </c>
      <c r="J231" t="n">
        <v>0</v>
      </c>
      <c r="K231" t="n">
        <v>0</v>
      </c>
      <c r="L231" t="n">
        <v>0</v>
      </c>
      <c r="M231" t="n">
        <v>0</v>
      </c>
      <c r="N231" t="n">
        <v>0</v>
      </c>
      <c r="O231" t="n">
        <v>0</v>
      </c>
      <c r="P231" t="n">
        <v>0</v>
      </c>
      <c r="Q231" t="n">
        <v>0</v>
      </c>
      <c r="R231" t="n">
        <v>0</v>
      </c>
      <c r="S231" t="n">
        <v>0</v>
      </c>
      <c r="T231" t="n">
        <v>0</v>
      </c>
      <c r="U231" s="2" t="inlineStr"/>
    </row>
    <row r="232" ht="15" customHeight="1">
      <c r="A232" t="inlineStr">
        <is>
          <t>A 1977-2026</t>
        </is>
      </c>
      <c r="B232" t="inlineStr">
        <is>
          <t>avverkningsanmälan</t>
        </is>
      </c>
      <c r="C232" t="inlineStr">
        <is>
          <t>Föryngringsavverkning</t>
        </is>
      </c>
      <c r="D232" s="1" t="n">
        <v>46035</v>
      </c>
      <c r="E232" s="1" t="n">
        <v>46217</v>
      </c>
      <c r="F232" t="inlineStr">
        <is>
          <t>SÖDERMANLANDS LÄN</t>
        </is>
      </c>
      <c r="G232" t="inlineStr">
        <is>
          <t>STRÄNGNÄS</t>
        </is>
      </c>
      <c r="I232" t="n">
        <v>8</v>
      </c>
      <c r="J232" t="n">
        <v>0</v>
      </c>
      <c r="K232" t="n">
        <v>0</v>
      </c>
      <c r="L232" t="n">
        <v>0</v>
      </c>
      <c r="M232" t="n">
        <v>0</v>
      </c>
      <c r="N232" t="n">
        <v>0</v>
      </c>
      <c r="O232" t="n">
        <v>0</v>
      </c>
      <c r="P232" t="n">
        <v>0</v>
      </c>
      <c r="Q232" t="n">
        <v>0</v>
      </c>
      <c r="R232" t="n">
        <v>0</v>
      </c>
      <c r="S232" t="n">
        <v>0</v>
      </c>
      <c r="T232" t="n">
        <v>0</v>
      </c>
      <c r="U232" s="2" t="inlineStr"/>
    </row>
    <row r="233" ht="15" customHeight="1">
      <c r="A233" t="inlineStr">
        <is>
          <t>A 17066-2022</t>
        </is>
      </c>
      <c r="B233" t="inlineStr">
        <is>
          <t>avverkningsanmälan</t>
        </is>
      </c>
      <c r="C233" t="inlineStr">
        <is>
          <t>Föryngringsavverkning</t>
        </is>
      </c>
      <c r="D233" s="1" t="n">
        <v>44676</v>
      </c>
      <c r="E233" s="1" t="n">
        <v>46217</v>
      </c>
      <c r="F233" t="inlineStr">
        <is>
          <t>SÖDERMANLANDS LÄN</t>
        </is>
      </c>
      <c r="G233" t="inlineStr">
        <is>
          <t>STRÄNGNÄS</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42117-2022</t>
        </is>
      </c>
      <c r="B234" t="inlineStr">
        <is>
          <t>avverkningsanmälan</t>
        </is>
      </c>
      <c r="C234" t="inlineStr">
        <is>
          <t>Föryngringsavverkning</t>
        </is>
      </c>
      <c r="D234" s="1" t="n">
        <v>44830</v>
      </c>
      <c r="E234" s="1" t="n">
        <v>46217</v>
      </c>
      <c r="F234" t="inlineStr">
        <is>
          <t>SÖDERMANLANDS LÄN</t>
        </is>
      </c>
      <c r="G234" t="inlineStr">
        <is>
          <t>STRÄNGNÄS</t>
        </is>
      </c>
      <c r="H234" t="inlineStr">
        <is>
          <t>Allmännings- och besparingsskogar</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3733-2026</t>
        </is>
      </c>
      <c r="B235" t="inlineStr">
        <is>
          <t>avverkningsanmälan</t>
        </is>
      </c>
      <c r="C235" t="inlineStr">
        <is>
          <t>Föryngringsavverkning</t>
        </is>
      </c>
      <c r="D235" s="1" t="n">
        <v>46043</v>
      </c>
      <c r="E235" s="1" t="n">
        <v>46217</v>
      </c>
      <c r="F235" t="inlineStr">
        <is>
          <t>SÖDERMANLANDS LÄN</t>
        </is>
      </c>
      <c r="G235" t="inlineStr">
        <is>
          <t>STRÄNGNÄS</t>
        </is>
      </c>
      <c r="I235" t="n">
        <v>2.9</v>
      </c>
      <c r="J235" t="n">
        <v>0</v>
      </c>
      <c r="K235" t="n">
        <v>0</v>
      </c>
      <c r="L235" t="n">
        <v>0</v>
      </c>
      <c r="M235" t="n">
        <v>0</v>
      </c>
      <c r="N235" t="n">
        <v>0</v>
      </c>
      <c r="O235" t="n">
        <v>0</v>
      </c>
      <c r="P235" t="n">
        <v>0</v>
      </c>
      <c r="Q235" t="n">
        <v>0</v>
      </c>
      <c r="R235" t="n">
        <v>0</v>
      </c>
      <c r="S235" t="n">
        <v>0</v>
      </c>
      <c r="T235" t="n">
        <v>0</v>
      </c>
      <c r="U235" s="2" t="inlineStr"/>
    </row>
    <row r="236" ht="15" customHeight="1">
      <c r="A236" t="inlineStr">
        <is>
          <t>A 10543-2026</t>
        </is>
      </c>
      <c r="B236" t="inlineStr">
        <is>
          <t>avverkningsanmälan</t>
        </is>
      </c>
      <c r="C236" t="inlineStr">
        <is>
          <t>Föryngringsavverkning</t>
        </is>
      </c>
      <c r="D236" s="1" t="n">
        <v>46077</v>
      </c>
      <c r="E236" s="1" t="n">
        <v>46217</v>
      </c>
      <c r="F236" t="inlineStr">
        <is>
          <t>SÖDERMANLANDS LÄN</t>
        </is>
      </c>
      <c r="G236" t="inlineStr">
        <is>
          <t>STRÄNGNÄS</t>
        </is>
      </c>
      <c r="H236" t="inlineStr">
        <is>
          <t>Övriga Aktiebolag</t>
        </is>
      </c>
      <c r="I236" t="n">
        <v>8.199999999999999</v>
      </c>
      <c r="J236" t="n">
        <v>0</v>
      </c>
      <c r="K236" t="n">
        <v>0</v>
      </c>
      <c r="L236" t="n">
        <v>0</v>
      </c>
      <c r="M236" t="n">
        <v>0</v>
      </c>
      <c r="N236" t="n">
        <v>0</v>
      </c>
      <c r="O236" t="n">
        <v>0</v>
      </c>
      <c r="P236" t="n">
        <v>0</v>
      </c>
      <c r="Q236" t="n">
        <v>0</v>
      </c>
      <c r="R236" t="n">
        <v>0</v>
      </c>
      <c r="S236" t="n">
        <v>0</v>
      </c>
      <c r="T236" t="n">
        <v>0</v>
      </c>
      <c r="U236" s="2" t="inlineStr"/>
    </row>
    <row r="237" ht="15" customHeight="1">
      <c r="A237" t="inlineStr">
        <is>
          <t>A 42777-2023</t>
        </is>
      </c>
      <c r="B237" t="inlineStr">
        <is>
          <t>avverkningsanmälan</t>
        </is>
      </c>
      <c r="C237" t="inlineStr">
        <is>
          <t>Föryngringsavverkning</t>
        </is>
      </c>
      <c r="D237" s="1" t="n">
        <v>45177</v>
      </c>
      <c r="E237" s="1" t="n">
        <v>46217</v>
      </c>
      <c r="F237" t="inlineStr">
        <is>
          <t>SÖDERMANLANDS LÄN</t>
        </is>
      </c>
      <c r="G237" t="inlineStr">
        <is>
          <t>STRÄNGNÄS</t>
        </is>
      </c>
      <c r="H237" t="inlineStr">
        <is>
          <t>Övriga statliga verk och myndigheter</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10121-2026</t>
        </is>
      </c>
      <c r="B238" t="inlineStr">
        <is>
          <t>avverkningsanmälan</t>
        </is>
      </c>
      <c r="C238" t="inlineStr">
        <is>
          <t>Föryngringsavverkning</t>
        </is>
      </c>
      <c r="D238" s="1" t="n">
        <v>46075</v>
      </c>
      <c r="E238" s="1" t="n">
        <v>46217</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9942-2026</t>
        </is>
      </c>
      <c r="B239" t="inlineStr">
        <is>
          <t>avverkningsanmälan</t>
        </is>
      </c>
      <c r="C239" t="inlineStr">
        <is>
          <t>Föryngringsavverkning</t>
        </is>
      </c>
      <c r="D239" s="1" t="n">
        <v>46073</v>
      </c>
      <c r="E239" s="1" t="n">
        <v>46217</v>
      </c>
      <c r="F239" t="inlineStr">
        <is>
          <t>SÖDERMANLANDS LÄN</t>
        </is>
      </c>
      <c r="G239" t="inlineStr">
        <is>
          <t>STRÄNGNÄS</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10770-2026</t>
        </is>
      </c>
      <c r="B240" t="inlineStr">
        <is>
          <t>avverkningsanmälan</t>
        </is>
      </c>
      <c r="C240" t="inlineStr">
        <is>
          <t>Föryngringsavverkning</t>
        </is>
      </c>
      <c r="D240" s="1" t="n">
        <v>46078</v>
      </c>
      <c r="E240" s="1" t="n">
        <v>46217</v>
      </c>
      <c r="F240" t="inlineStr">
        <is>
          <t>SÖDERMANLANDS LÄN</t>
        </is>
      </c>
      <c r="G240" t="inlineStr">
        <is>
          <t>STRÄNGNÄS</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59304-2023</t>
        </is>
      </c>
      <c r="B241" t="inlineStr">
        <is>
          <t>avverkningsanmälan</t>
        </is>
      </c>
      <c r="C241" t="inlineStr">
        <is>
          <t>Föryngringsavverkning</t>
        </is>
      </c>
      <c r="D241" s="1" t="n">
        <v>45253</v>
      </c>
      <c r="E241" s="1" t="n">
        <v>46217</v>
      </c>
      <c r="F241" t="inlineStr">
        <is>
          <t>SÖDERMANLANDS LÄN</t>
        </is>
      </c>
      <c r="G241" t="inlineStr">
        <is>
          <t>STRÄNGNÄS</t>
        </is>
      </c>
      <c r="I241" t="n">
        <v>7.1</v>
      </c>
      <c r="J241" t="n">
        <v>0</v>
      </c>
      <c r="K241" t="n">
        <v>0</v>
      </c>
      <c r="L241" t="n">
        <v>0</v>
      </c>
      <c r="M241" t="n">
        <v>0</v>
      </c>
      <c r="N241" t="n">
        <v>0</v>
      </c>
      <c r="O241" t="n">
        <v>0</v>
      </c>
      <c r="P241" t="n">
        <v>0</v>
      </c>
      <c r="Q241" t="n">
        <v>0</v>
      </c>
      <c r="R241" t="n">
        <v>0</v>
      </c>
      <c r="S241" t="n">
        <v>0</v>
      </c>
      <c r="T241" t="n">
        <v>0</v>
      </c>
      <c r="U241" s="2" t="inlineStr"/>
    </row>
    <row r="242" ht="15" customHeight="1">
      <c r="A242" t="inlineStr">
        <is>
          <t>A 46882-2023</t>
        </is>
      </c>
      <c r="B242" t="inlineStr">
        <is>
          <t>avverkningsanmälan</t>
        </is>
      </c>
      <c r="C242" t="inlineStr">
        <is>
          <t>Föryngringsavverkning</t>
        </is>
      </c>
      <c r="D242" s="1" t="n">
        <v>45201</v>
      </c>
      <c r="E242" s="1" t="n">
        <v>46217</v>
      </c>
      <c r="F242" t="inlineStr">
        <is>
          <t>SÖDERMANLANDS LÄN</t>
        </is>
      </c>
      <c r="G242" t="inlineStr">
        <is>
          <t>STRÄNGNÄS</t>
        </is>
      </c>
      <c r="I242" t="n">
        <v>8.5</v>
      </c>
      <c r="J242" t="n">
        <v>0</v>
      </c>
      <c r="K242" t="n">
        <v>0</v>
      </c>
      <c r="L242" t="n">
        <v>0</v>
      </c>
      <c r="M242" t="n">
        <v>0</v>
      </c>
      <c r="N242" t="n">
        <v>0</v>
      </c>
      <c r="O242" t="n">
        <v>0</v>
      </c>
      <c r="P242" t="n">
        <v>0</v>
      </c>
      <c r="Q242" t="n">
        <v>0</v>
      </c>
      <c r="R242" t="n">
        <v>0</v>
      </c>
      <c r="S242" t="n">
        <v>0</v>
      </c>
      <c r="T242" t="n">
        <v>0</v>
      </c>
      <c r="U242" s="2" t="inlineStr"/>
    </row>
    <row r="243" ht="15" customHeight="1">
      <c r="A243" t="inlineStr">
        <is>
          <t>A 3759-2025</t>
        </is>
      </c>
      <c r="B243" t="inlineStr">
        <is>
          <t>avverkningsanmälan</t>
        </is>
      </c>
      <c r="C243" t="inlineStr">
        <is>
          <t>Föryngringsavverkning</t>
        </is>
      </c>
      <c r="D243" s="1" t="n">
        <v>45681</v>
      </c>
      <c r="E243" s="1" t="n">
        <v>46217</v>
      </c>
      <c r="F243" t="inlineStr">
        <is>
          <t>SÖDERMANLANDS LÄN</t>
        </is>
      </c>
      <c r="G243" t="inlineStr">
        <is>
          <t>STRÄNGNÄS</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3761-2025</t>
        </is>
      </c>
      <c r="B244" t="inlineStr">
        <is>
          <t>avverkningsanmälan</t>
        </is>
      </c>
      <c r="C244" t="inlineStr">
        <is>
          <t>Föryngringsavverkning</t>
        </is>
      </c>
      <c r="D244" s="1" t="n">
        <v>45681</v>
      </c>
      <c r="E244" s="1" t="n">
        <v>46217</v>
      </c>
      <c r="F244" t="inlineStr">
        <is>
          <t>SÖDERMANLANDS LÄN</t>
        </is>
      </c>
      <c r="G244" t="inlineStr">
        <is>
          <t>STRÄNGNÄS</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12343-2026</t>
        </is>
      </c>
      <c r="B245" t="inlineStr">
        <is>
          <t>avverkningsanmälan</t>
        </is>
      </c>
      <c r="C245" t="inlineStr">
        <is>
          <t>Föryngringsavverkning</t>
        </is>
      </c>
      <c r="D245" s="1" t="n">
        <v>46087</v>
      </c>
      <c r="E245" s="1" t="n">
        <v>46217</v>
      </c>
      <c r="F245" t="inlineStr">
        <is>
          <t>SÖDERMANLANDS LÄN</t>
        </is>
      </c>
      <c r="G245" t="inlineStr">
        <is>
          <t>STRÄNGNÄS</t>
        </is>
      </c>
      <c r="I245" t="n">
        <v>3.6</v>
      </c>
      <c r="J245" t="n">
        <v>0</v>
      </c>
      <c r="K245" t="n">
        <v>0</v>
      </c>
      <c r="L245" t="n">
        <v>0</v>
      </c>
      <c r="M245" t="n">
        <v>0</v>
      </c>
      <c r="N245" t="n">
        <v>0</v>
      </c>
      <c r="O245" t="n">
        <v>0</v>
      </c>
      <c r="P245" t="n">
        <v>0</v>
      </c>
      <c r="Q245" t="n">
        <v>0</v>
      </c>
      <c r="R245" t="n">
        <v>0</v>
      </c>
      <c r="S245" t="n">
        <v>0</v>
      </c>
      <c r="T245" t="n">
        <v>0</v>
      </c>
      <c r="U245" s="2" t="inlineStr"/>
    </row>
    <row r="246" ht="15" customHeight="1">
      <c r="A246" t="inlineStr">
        <is>
          <t>A 52998-2025</t>
        </is>
      </c>
      <c r="B246" t="inlineStr">
        <is>
          <t>avverkningsanmälan</t>
        </is>
      </c>
      <c r="C246" t="inlineStr">
        <is>
          <t>Föryngringsavverkning</t>
        </is>
      </c>
      <c r="D246" s="1" t="n">
        <v>45957</v>
      </c>
      <c r="E246" s="1" t="n">
        <v>46217</v>
      </c>
      <c r="F246" t="inlineStr">
        <is>
          <t>SÖDERMANLANDS LÄN</t>
        </is>
      </c>
      <c r="G246" t="inlineStr">
        <is>
          <t>STRÄNGNÄS</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59294-2025</t>
        </is>
      </c>
      <c r="B247" t="inlineStr">
        <is>
          <t>avverkningsanmälan</t>
        </is>
      </c>
      <c r="C247" t="inlineStr">
        <is>
          <t>Föryngringsavverkning</t>
        </is>
      </c>
      <c r="D247" s="1" t="n">
        <v>45988</v>
      </c>
      <c r="E247" s="1" t="n">
        <v>46217</v>
      </c>
      <c r="F247" t="inlineStr">
        <is>
          <t>SÖDERMANLANDS LÄN</t>
        </is>
      </c>
      <c r="G247" t="inlineStr">
        <is>
          <t>STRÄNGNÄS</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44479-2023</t>
        </is>
      </c>
      <c r="B248" t="inlineStr">
        <is>
          <t>avverkningsanmälan</t>
        </is>
      </c>
      <c r="C248" t="inlineStr">
        <is>
          <t>Föryngringsavverkning</t>
        </is>
      </c>
      <c r="D248" s="1" t="n">
        <v>45189</v>
      </c>
      <c r="E248" s="1" t="n">
        <v>46217</v>
      </c>
      <c r="F248" t="inlineStr">
        <is>
          <t>SÖDERMANLANDS LÄN</t>
        </is>
      </c>
      <c r="G248" t="inlineStr">
        <is>
          <t>STRÄNGNÄS</t>
        </is>
      </c>
      <c r="I248" t="n">
        <v>4</v>
      </c>
      <c r="J248" t="n">
        <v>0</v>
      </c>
      <c r="K248" t="n">
        <v>0</v>
      </c>
      <c r="L248" t="n">
        <v>0</v>
      </c>
      <c r="M248" t="n">
        <v>0</v>
      </c>
      <c r="N248" t="n">
        <v>0</v>
      </c>
      <c r="O248" t="n">
        <v>0</v>
      </c>
      <c r="P248" t="n">
        <v>0</v>
      </c>
      <c r="Q248" t="n">
        <v>0</v>
      </c>
      <c r="R248" t="n">
        <v>0</v>
      </c>
      <c r="S248" t="n">
        <v>0</v>
      </c>
      <c r="T248" t="n">
        <v>0</v>
      </c>
      <c r="U248" s="2" t="inlineStr"/>
    </row>
    <row r="249" ht="15" customHeight="1">
      <c r="A249" t="inlineStr">
        <is>
          <t>A 11281-2025</t>
        </is>
      </c>
      <c r="B249" t="inlineStr">
        <is>
          <t>avverkningsanmälan</t>
        </is>
      </c>
      <c r="C249" t="inlineStr">
        <is>
          <t>Föryngringsavverkning</t>
        </is>
      </c>
      <c r="D249" s="1" t="n">
        <v>45726</v>
      </c>
      <c r="E249" s="1" t="n">
        <v>46217</v>
      </c>
      <c r="F249" t="inlineStr">
        <is>
          <t>SÖDERMANLANDS LÄN</t>
        </is>
      </c>
      <c r="G249" t="inlineStr">
        <is>
          <t>STRÄNGNÄS</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23961-2026</t>
        </is>
      </c>
      <c r="B250" t="inlineStr">
        <is>
          <t>avverkningsanmälan</t>
        </is>
      </c>
      <c r="C250" t="inlineStr">
        <is>
          <t>Föryngringsavverkning</t>
        </is>
      </c>
      <c r="D250" s="1" t="n">
        <v>46167</v>
      </c>
      <c r="E250" s="1" t="n">
        <v>46217</v>
      </c>
      <c r="F250" t="inlineStr">
        <is>
          <t>SÖDERMANLANDS LÄN</t>
        </is>
      </c>
      <c r="G250" t="inlineStr">
        <is>
          <t>STRÄNGNÄS</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34401-2024</t>
        </is>
      </c>
      <c r="B251" t="inlineStr">
        <is>
          <t>avverkningsanmälan</t>
        </is>
      </c>
      <c r="C251" t="inlineStr">
        <is>
          <t>Föryngringsavverkning</t>
        </is>
      </c>
      <c r="D251" s="1" t="n">
        <v>45525</v>
      </c>
      <c r="E251" s="1" t="n">
        <v>46217</v>
      </c>
      <c r="F251" t="inlineStr">
        <is>
          <t>SÖDERMANLANDS LÄN</t>
        </is>
      </c>
      <c r="G251" t="inlineStr">
        <is>
          <t>STRÄNGNÄS</t>
        </is>
      </c>
      <c r="I251" t="n">
        <v>0.4</v>
      </c>
      <c r="J251" t="n">
        <v>0</v>
      </c>
      <c r="K251" t="n">
        <v>0</v>
      </c>
      <c r="L251" t="n">
        <v>0</v>
      </c>
      <c r="M251" t="n">
        <v>0</v>
      </c>
      <c r="N251" t="n">
        <v>0</v>
      </c>
      <c r="O251" t="n">
        <v>0</v>
      </c>
      <c r="P251" t="n">
        <v>0</v>
      </c>
      <c r="Q251" t="n">
        <v>0</v>
      </c>
      <c r="R251" t="n">
        <v>0</v>
      </c>
      <c r="S251" t="n">
        <v>0</v>
      </c>
      <c r="T251" t="n">
        <v>0</v>
      </c>
      <c r="U251" s="2" t="inlineStr"/>
    </row>
    <row r="252" ht="15" customHeight="1">
      <c r="A252" t="inlineStr">
        <is>
          <t>A 23995-2026</t>
        </is>
      </c>
      <c r="B252" t="inlineStr">
        <is>
          <t>avverkningsanmälan</t>
        </is>
      </c>
      <c r="C252" t="inlineStr">
        <is>
          <t>Föryngringsavverkning</t>
        </is>
      </c>
      <c r="D252" s="1" t="n">
        <v>46167</v>
      </c>
      <c r="E252" s="1" t="n">
        <v>46217</v>
      </c>
      <c r="F252" t="inlineStr">
        <is>
          <t>SÖDERMANLANDS LÄN</t>
        </is>
      </c>
      <c r="G252" t="inlineStr">
        <is>
          <t>STRÄNGNÄS</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52790-2023</t>
        </is>
      </c>
      <c r="B253" t="inlineStr">
        <is>
          <t>avverkningsanmälan</t>
        </is>
      </c>
      <c r="C253" t="inlineStr">
        <is>
          <t>Föryngringsavverkning</t>
        </is>
      </c>
      <c r="D253" s="1" t="n">
        <v>45219</v>
      </c>
      <c r="E253" s="1" t="n">
        <v>46217</v>
      </c>
      <c r="F253" t="inlineStr">
        <is>
          <t>SÖDERMANLANDS LÄN</t>
        </is>
      </c>
      <c r="G253" t="inlineStr">
        <is>
          <t>STRÄNGNÄS</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55054-2023</t>
        </is>
      </c>
      <c r="B254" t="inlineStr">
        <is>
          <t>avverkningsanmälan</t>
        </is>
      </c>
      <c r="C254" t="inlineStr">
        <is>
          <t>Föryngringsavverkning</t>
        </is>
      </c>
      <c r="D254" s="1" t="n">
        <v>45237</v>
      </c>
      <c r="E254" s="1" t="n">
        <v>46217</v>
      </c>
      <c r="F254" t="inlineStr">
        <is>
          <t>SÖDERMANLANDS LÄN</t>
        </is>
      </c>
      <c r="G254" t="inlineStr">
        <is>
          <t>STRÄNGNÄS</t>
        </is>
      </c>
      <c r="H254" t="inlineStr">
        <is>
          <t>Sveaskog</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50296-2021</t>
        </is>
      </c>
      <c r="B255" t="inlineStr">
        <is>
          <t>avverkningsanmälan</t>
        </is>
      </c>
      <c r="C255" t="inlineStr">
        <is>
          <t>Föryngringsavverkning</t>
        </is>
      </c>
      <c r="D255" s="1" t="n">
        <v>44459</v>
      </c>
      <c r="E255" s="1" t="n">
        <v>46217</v>
      </c>
      <c r="F255" t="inlineStr">
        <is>
          <t>SÖDERMANLANDS LÄN</t>
        </is>
      </c>
      <c r="G255" t="inlineStr">
        <is>
          <t>STRÄNGNÄS</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3121-2023</t>
        </is>
      </c>
      <c r="B256" t="inlineStr">
        <is>
          <t>avverkningsanmälan</t>
        </is>
      </c>
      <c r="C256" t="inlineStr">
        <is>
          <t>Föryngringsavverkning</t>
        </is>
      </c>
      <c r="D256" s="1" t="n">
        <v>44946</v>
      </c>
      <c r="E256" s="1" t="n">
        <v>46217</v>
      </c>
      <c r="F256" t="inlineStr">
        <is>
          <t>SÖDERMANLANDS LÄN</t>
        </is>
      </c>
      <c r="G256" t="inlineStr">
        <is>
          <t>STRÄNGNÄS</t>
        </is>
      </c>
      <c r="I256" t="n">
        <v>2.3</v>
      </c>
      <c r="J256" t="n">
        <v>0</v>
      </c>
      <c r="K256" t="n">
        <v>0</v>
      </c>
      <c r="L256" t="n">
        <v>0</v>
      </c>
      <c r="M256" t="n">
        <v>0</v>
      </c>
      <c r="N256" t="n">
        <v>0</v>
      </c>
      <c r="O256" t="n">
        <v>0</v>
      </c>
      <c r="P256" t="n">
        <v>0</v>
      </c>
      <c r="Q256" t="n">
        <v>0</v>
      </c>
      <c r="R256" t="n">
        <v>0</v>
      </c>
      <c r="S256" t="n">
        <v>0</v>
      </c>
      <c r="T256" t="n">
        <v>0</v>
      </c>
      <c r="U256" s="2" t="inlineStr"/>
    </row>
    <row r="257" ht="15" customHeight="1">
      <c r="A257" t="inlineStr">
        <is>
          <t>A 10352-2023</t>
        </is>
      </c>
      <c r="B257" t="inlineStr">
        <is>
          <t>avverkningsanmälan</t>
        </is>
      </c>
      <c r="C257" t="inlineStr">
        <is>
          <t>Föryngringsavverkning</t>
        </is>
      </c>
      <c r="D257" s="1" t="n">
        <v>44987</v>
      </c>
      <c r="E257" s="1" t="n">
        <v>46217</v>
      </c>
      <c r="F257" t="inlineStr">
        <is>
          <t>SÖDERMANLANDS LÄN</t>
        </is>
      </c>
      <c r="G257" t="inlineStr">
        <is>
          <t>STRÄNGNÄS</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41503-2022</t>
        </is>
      </c>
      <c r="B258" t="inlineStr">
        <is>
          <t>avverkningsanmälan</t>
        </is>
      </c>
      <c r="C258" t="inlineStr">
        <is>
          <t>Föryngringsavverkning</t>
        </is>
      </c>
      <c r="D258" s="1" t="n">
        <v>44827</v>
      </c>
      <c r="E258" s="1" t="n">
        <v>46217</v>
      </c>
      <c r="F258" t="inlineStr">
        <is>
          <t>SÖDERMANLANDS LÄN</t>
        </is>
      </c>
      <c r="G258" t="inlineStr">
        <is>
          <t>STRÄNGNÄS</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27680-2026</t>
        </is>
      </c>
      <c r="B259" t="inlineStr">
        <is>
          <t>avverkningsanmälan</t>
        </is>
      </c>
      <c r="C259" t="inlineStr">
        <is>
          <t>Föryngringsavverkning</t>
        </is>
      </c>
      <c r="D259" s="1" t="n">
        <v>46188</v>
      </c>
      <c r="E259" s="1" t="n">
        <v>46217</v>
      </c>
      <c r="F259" t="inlineStr">
        <is>
          <t>SÖDERMANLANDS LÄN</t>
        </is>
      </c>
      <c r="G259" t="inlineStr">
        <is>
          <t>STRÄNGNÄS</t>
        </is>
      </c>
      <c r="I259" t="n">
        <v>3.3</v>
      </c>
      <c r="J259" t="n">
        <v>0</v>
      </c>
      <c r="K259" t="n">
        <v>0</v>
      </c>
      <c r="L259" t="n">
        <v>0</v>
      </c>
      <c r="M259" t="n">
        <v>0</v>
      </c>
      <c r="N259" t="n">
        <v>0</v>
      </c>
      <c r="O259" t="n">
        <v>0</v>
      </c>
      <c r="P259" t="n">
        <v>0</v>
      </c>
      <c r="Q259" t="n">
        <v>0</v>
      </c>
      <c r="R259" t="n">
        <v>0</v>
      </c>
      <c r="S259" t="n">
        <v>0</v>
      </c>
      <c r="T259" t="n">
        <v>0</v>
      </c>
      <c r="U259" s="2" t="inlineStr"/>
    </row>
    <row r="260" ht="15" customHeight="1">
      <c r="A260" t="inlineStr">
        <is>
          <t>A 30753-2026</t>
        </is>
      </c>
      <c r="B260" t="inlineStr">
        <is>
          <t>avverkningsanmälan</t>
        </is>
      </c>
      <c r="C260" t="inlineStr">
        <is>
          <t>Avverkning för annat ändamål</t>
        </is>
      </c>
      <c r="D260" s="1" t="n">
        <v>46212</v>
      </c>
      <c r="E260" s="1" t="n">
        <v>46217</v>
      </c>
      <c r="F260" t="inlineStr">
        <is>
          <t>SÖDERMANLANDS LÄN</t>
        </is>
      </c>
      <c r="G260" t="inlineStr">
        <is>
          <t>STRÄNGNÄS</t>
        </is>
      </c>
      <c r="H260" t="inlineStr">
        <is>
          <t>Övriga Aktiebolag</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60748-2021</t>
        </is>
      </c>
      <c r="B261" t="inlineStr">
        <is>
          <t>avverkningsanmälan</t>
        </is>
      </c>
      <c r="C261" t="inlineStr">
        <is>
          <t>Föryngringsavverkning</t>
        </is>
      </c>
      <c r="D261" s="1" t="n">
        <v>44496</v>
      </c>
      <c r="E261" s="1" t="n">
        <v>46217</v>
      </c>
      <c r="F261" t="inlineStr">
        <is>
          <t>SÖDERMANLANDS LÄN</t>
        </is>
      </c>
      <c r="G261" t="inlineStr">
        <is>
          <t>STRÄNGNÄS</t>
        </is>
      </c>
      <c r="I261" t="n">
        <v>1.9</v>
      </c>
      <c r="J261" t="n">
        <v>0</v>
      </c>
      <c r="K261" t="n">
        <v>0</v>
      </c>
      <c r="L261" t="n">
        <v>0</v>
      </c>
      <c r="M261" t="n">
        <v>0</v>
      </c>
      <c r="N261" t="n">
        <v>0</v>
      </c>
      <c r="O261" t="n">
        <v>0</v>
      </c>
      <c r="P261" t="n">
        <v>0</v>
      </c>
      <c r="Q261" t="n">
        <v>0</v>
      </c>
      <c r="R261" t="n">
        <v>0</v>
      </c>
      <c r="S261" t="n">
        <v>0</v>
      </c>
      <c r="T261" t="n">
        <v>0</v>
      </c>
      <c r="U261" s="2" t="inlineStr"/>
    </row>
    <row r="262" ht="15" customHeight="1">
      <c r="A262" t="inlineStr">
        <is>
          <t>A 33343-2023</t>
        </is>
      </c>
      <c r="B262" t="inlineStr">
        <is>
          <t>avverkningsanmälan</t>
        </is>
      </c>
      <c r="C262" t="inlineStr">
        <is>
          <t>Föryngringsavverkning</t>
        </is>
      </c>
      <c r="D262" s="1" t="n">
        <v>45128</v>
      </c>
      <c r="E262" s="1" t="n">
        <v>46217</v>
      </c>
      <c r="F262" t="inlineStr">
        <is>
          <t>SÖDERMANLANDS LÄN</t>
        </is>
      </c>
      <c r="G262" t="inlineStr">
        <is>
          <t>STRÄNGNÄS</t>
        </is>
      </c>
      <c r="I262" t="n">
        <v>4.3</v>
      </c>
      <c r="J262" t="n">
        <v>0</v>
      </c>
      <c r="K262" t="n">
        <v>0</v>
      </c>
      <c r="L262" t="n">
        <v>0</v>
      </c>
      <c r="M262" t="n">
        <v>0</v>
      </c>
      <c r="N262" t="n">
        <v>0</v>
      </c>
      <c r="O262" t="n">
        <v>0</v>
      </c>
      <c r="P262" t="n">
        <v>0</v>
      </c>
      <c r="Q262" t="n">
        <v>0</v>
      </c>
      <c r="R262" t="n">
        <v>0</v>
      </c>
      <c r="S262" t="n">
        <v>0</v>
      </c>
      <c r="T262" t="n">
        <v>0</v>
      </c>
      <c r="U262" s="2" t="inlineStr"/>
    </row>
    <row r="263" ht="15" customHeight="1">
      <c r="A263" t="inlineStr">
        <is>
          <t>A 54383-2022</t>
        </is>
      </c>
      <c r="B263" t="inlineStr">
        <is>
          <t>avverkningsanmälan</t>
        </is>
      </c>
      <c r="C263" t="inlineStr">
        <is>
          <t>Föryngringsavverkning</t>
        </is>
      </c>
      <c r="D263" s="1" t="n">
        <v>44882</v>
      </c>
      <c r="E263" s="1" t="n">
        <v>46217</v>
      </c>
      <c r="F263" t="inlineStr">
        <is>
          <t>SÖDERMANLANDS LÄN</t>
        </is>
      </c>
      <c r="G263" t="inlineStr">
        <is>
          <t>STRÄNGNÄS</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3185-2022</t>
        </is>
      </c>
      <c r="B264" t="inlineStr">
        <is>
          <t>avverkningsanmälan</t>
        </is>
      </c>
      <c r="C264" t="inlineStr">
        <is>
          <t>Föryngringsavverkning</t>
        </is>
      </c>
      <c r="D264" s="1" t="n">
        <v>44582</v>
      </c>
      <c r="E264" s="1" t="n">
        <v>46217</v>
      </c>
      <c r="F264" t="inlineStr">
        <is>
          <t>SÖDERMANLANDS LÄN</t>
        </is>
      </c>
      <c r="G264" t="inlineStr">
        <is>
          <t>STRÄNGNÄS</t>
        </is>
      </c>
      <c r="I264" t="n">
        <v>6.1</v>
      </c>
      <c r="J264" t="n">
        <v>0</v>
      </c>
      <c r="K264" t="n">
        <v>0</v>
      </c>
      <c r="L264" t="n">
        <v>0</v>
      </c>
      <c r="M264" t="n">
        <v>0</v>
      </c>
      <c r="N264" t="n">
        <v>0</v>
      </c>
      <c r="O264" t="n">
        <v>0</v>
      </c>
      <c r="P264" t="n">
        <v>0</v>
      </c>
      <c r="Q264" t="n">
        <v>0</v>
      </c>
      <c r="R264" t="n">
        <v>0</v>
      </c>
      <c r="S264" t="n">
        <v>0</v>
      </c>
      <c r="T264" t="n">
        <v>0</v>
      </c>
      <c r="U264" s="2" t="inlineStr"/>
    </row>
    <row r="265" ht="15" customHeight="1">
      <c r="A265" t="inlineStr">
        <is>
          <t>A 65151-2023</t>
        </is>
      </c>
      <c r="B265" t="inlineStr">
        <is>
          <t>avverkningsanmälan</t>
        </is>
      </c>
      <c r="C265" t="inlineStr">
        <is>
          <t>Föryngringsavverkning</t>
        </is>
      </c>
      <c r="D265" s="1" t="n">
        <v>45288</v>
      </c>
      <c r="E265" s="1" t="n">
        <v>46217</v>
      </c>
      <c r="F265" t="inlineStr">
        <is>
          <t>SÖDERMANLANDS LÄN</t>
        </is>
      </c>
      <c r="G265" t="inlineStr">
        <is>
          <t>STRÄNGNÄS</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58238-2022</t>
        </is>
      </c>
      <c r="B266" t="inlineStr">
        <is>
          <t>avverkningsanmälan</t>
        </is>
      </c>
      <c r="C266" t="inlineStr">
        <is>
          <t>Föryngringsavverkning</t>
        </is>
      </c>
      <c r="D266" s="1" t="n">
        <v>44901</v>
      </c>
      <c r="E266" s="1" t="n">
        <v>46217</v>
      </c>
      <c r="F266" t="inlineStr">
        <is>
          <t>SÖDERMANLANDS LÄN</t>
        </is>
      </c>
      <c r="G266" t="inlineStr">
        <is>
          <t>STRÄNGNÄS</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43386-2022</t>
        </is>
      </c>
      <c r="B267" t="inlineStr">
        <is>
          <t>avverkningsanmälan</t>
        </is>
      </c>
      <c r="C267" t="inlineStr">
        <is>
          <t>Föryngringsavverkning</t>
        </is>
      </c>
      <c r="D267" s="1" t="n">
        <v>44834</v>
      </c>
      <c r="E267" s="1" t="n">
        <v>46217</v>
      </c>
      <c r="F267" t="inlineStr">
        <is>
          <t>SÖDERMANLANDS LÄN</t>
        </is>
      </c>
      <c r="G267" t="inlineStr">
        <is>
          <t>STRÄNGNÄS</t>
        </is>
      </c>
      <c r="I267" t="n">
        <v>5.1</v>
      </c>
      <c r="J267" t="n">
        <v>0</v>
      </c>
      <c r="K267" t="n">
        <v>0</v>
      </c>
      <c r="L267" t="n">
        <v>0</v>
      </c>
      <c r="M267" t="n">
        <v>0</v>
      </c>
      <c r="N267" t="n">
        <v>0</v>
      </c>
      <c r="O267" t="n">
        <v>0</v>
      </c>
      <c r="P267" t="n">
        <v>0</v>
      </c>
      <c r="Q267" t="n">
        <v>0</v>
      </c>
      <c r="R267" t="n">
        <v>0</v>
      </c>
      <c r="S267" t="n">
        <v>0</v>
      </c>
      <c r="T267" t="n">
        <v>0</v>
      </c>
      <c r="U267" s="2" t="inlineStr"/>
    </row>
    <row r="268" ht="15" customHeight="1">
      <c r="A268" t="inlineStr">
        <is>
          <t>A 18965-2026</t>
        </is>
      </c>
      <c r="B268" t="inlineStr">
        <is>
          <t>avverkningsanmälan</t>
        </is>
      </c>
      <c r="C268" t="inlineStr">
        <is>
          <t>Föryngringsavverkning</t>
        </is>
      </c>
      <c r="D268" s="1" t="n">
        <v>46129</v>
      </c>
      <c r="E268" s="1" t="n">
        <v>46217</v>
      </c>
      <c r="F268" t="inlineStr">
        <is>
          <t>SÖDERMANLANDS LÄN</t>
        </is>
      </c>
      <c r="G268" t="inlineStr">
        <is>
          <t>STRÄNGNÄS</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18904-2026</t>
        </is>
      </c>
      <c r="B269" t="inlineStr">
        <is>
          <t>avverkningsanmälan</t>
        </is>
      </c>
      <c r="C269" t="inlineStr">
        <is>
          <t>Föryngringsavverkning</t>
        </is>
      </c>
      <c r="D269" s="1" t="n">
        <v>46129</v>
      </c>
      <c r="E269" s="1" t="n">
        <v>46217</v>
      </c>
      <c r="F269" t="inlineStr">
        <is>
          <t>SÖDERMANLANDS LÄN</t>
        </is>
      </c>
      <c r="G269" t="inlineStr">
        <is>
          <t>STRÄNGNÄS</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27677-2026</t>
        </is>
      </c>
      <c r="B270" t="inlineStr">
        <is>
          <t>avverkningsanmälan</t>
        </is>
      </c>
      <c r="C270" t="inlineStr">
        <is>
          <t>Föryngringsavverkning</t>
        </is>
      </c>
      <c r="D270" s="1" t="n">
        <v>46188</v>
      </c>
      <c r="E270" s="1" t="n">
        <v>46217</v>
      </c>
      <c r="F270" t="inlineStr">
        <is>
          <t>SÖDERMANLANDS LÄN</t>
        </is>
      </c>
      <c r="G270" t="inlineStr">
        <is>
          <t>STRÄNGNÄS</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24694-2026</t>
        </is>
      </c>
      <c r="B271" t="inlineStr">
        <is>
          <t>avverkningsanmälan</t>
        </is>
      </c>
      <c r="C271" t="inlineStr">
        <is>
          <t>Föryngringsavverkning</t>
        </is>
      </c>
      <c r="D271" s="1" t="n">
        <v>46171</v>
      </c>
      <c r="E271" s="1" t="n">
        <v>46217</v>
      </c>
      <c r="F271" t="inlineStr">
        <is>
          <t>SÖDERMANLANDS LÄN</t>
        </is>
      </c>
      <c r="G271" t="inlineStr">
        <is>
          <t>STRÄNGNÄS</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18971-2026</t>
        </is>
      </c>
      <c r="B272" t="inlineStr">
        <is>
          <t>avverkningsanmälan</t>
        </is>
      </c>
      <c r="C272" t="inlineStr">
        <is>
          <t>Föryngringsavverkning</t>
        </is>
      </c>
      <c r="D272" s="1" t="n">
        <v>46129</v>
      </c>
      <c r="E272" s="1" t="n">
        <v>46217</v>
      </c>
      <c r="F272" t="inlineStr">
        <is>
          <t>SÖDERMANLANDS LÄN</t>
        </is>
      </c>
      <c r="G272" t="inlineStr">
        <is>
          <t>STRÄNGNÄS</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18961-2026</t>
        </is>
      </c>
      <c r="B273" t="inlineStr">
        <is>
          <t>avverkningsanmälan</t>
        </is>
      </c>
      <c r="C273" t="inlineStr">
        <is>
          <t>Föryngringsavverkning</t>
        </is>
      </c>
      <c r="D273" s="1" t="n">
        <v>46129</v>
      </c>
      <c r="E273" s="1" t="n">
        <v>46217</v>
      </c>
      <c r="F273" t="inlineStr">
        <is>
          <t>SÖDERMANLANDS LÄN</t>
        </is>
      </c>
      <c r="G273" t="inlineStr">
        <is>
          <t>STRÄNGNÄS</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24680-2026</t>
        </is>
      </c>
      <c r="B274" t="inlineStr">
        <is>
          <t>avverkningsanmälan</t>
        </is>
      </c>
      <c r="C274" t="inlineStr">
        <is>
          <t>Föryngringsavverkning</t>
        </is>
      </c>
      <c r="D274" s="1" t="n">
        <v>46171</v>
      </c>
      <c r="E274" s="1" t="n">
        <v>46217</v>
      </c>
      <c r="F274" t="inlineStr">
        <is>
          <t>SÖDERMANLANDS LÄN</t>
        </is>
      </c>
      <c r="G274" t="inlineStr">
        <is>
          <t>STRÄNGNÄS</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24691-2026</t>
        </is>
      </c>
      <c r="B275" t="inlineStr">
        <is>
          <t>avverkningsanmälan</t>
        </is>
      </c>
      <c r="C275" t="inlineStr">
        <is>
          <t>Föryngringsavverkning</t>
        </is>
      </c>
      <c r="D275" s="1" t="n">
        <v>46171</v>
      </c>
      <c r="E275" s="1" t="n">
        <v>46217</v>
      </c>
      <c r="F275" t="inlineStr">
        <is>
          <t>SÖDERMANLANDS LÄN</t>
        </is>
      </c>
      <c r="G275" t="inlineStr">
        <is>
          <t>STRÄNGNÄS</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25077-2026</t>
        </is>
      </c>
      <c r="B276" t="inlineStr">
        <is>
          <t>avverkningsanmälan</t>
        </is>
      </c>
      <c r="C276" t="inlineStr">
        <is>
          <t>Föryngringsavverkning</t>
        </is>
      </c>
      <c r="D276" s="1" t="n">
        <v>46174</v>
      </c>
      <c r="E276" s="1" t="n">
        <v>46217</v>
      </c>
      <c r="F276" t="inlineStr">
        <is>
          <t>SÖDERMANLANDS LÄN</t>
        </is>
      </c>
      <c r="G276" t="inlineStr">
        <is>
          <t>STRÄNGNÄS</t>
        </is>
      </c>
      <c r="I276" t="n">
        <v>5.4</v>
      </c>
      <c r="J276" t="n">
        <v>0</v>
      </c>
      <c r="K276" t="n">
        <v>0</v>
      </c>
      <c r="L276" t="n">
        <v>0</v>
      </c>
      <c r="M276" t="n">
        <v>0</v>
      </c>
      <c r="N276" t="n">
        <v>0</v>
      </c>
      <c r="O276" t="n">
        <v>0</v>
      </c>
      <c r="P276" t="n">
        <v>0</v>
      </c>
      <c r="Q276" t="n">
        <v>0</v>
      </c>
      <c r="R276" t="n">
        <v>0</v>
      </c>
      <c r="S276" t="n">
        <v>0</v>
      </c>
      <c r="T276" t="n">
        <v>0</v>
      </c>
      <c r="U276" s="2" t="inlineStr"/>
    </row>
    <row r="277" ht="15" customHeight="1">
      <c r="A277" t="inlineStr">
        <is>
          <t>A 60747-2021</t>
        </is>
      </c>
      <c r="B277" t="inlineStr">
        <is>
          <t>avverkningsanmälan</t>
        </is>
      </c>
      <c r="C277" t="inlineStr">
        <is>
          <t>Föryngringsavverkning</t>
        </is>
      </c>
      <c r="D277" s="1" t="n">
        <v>44496</v>
      </c>
      <c r="E277" s="1" t="n">
        <v>46217</v>
      </c>
      <c r="F277" t="inlineStr">
        <is>
          <t>SÖDERMANLANDS LÄN</t>
        </is>
      </c>
      <c r="G277" t="inlineStr">
        <is>
          <t>STRÄNGNÄS</t>
        </is>
      </c>
      <c r="I277" t="n">
        <v>3.3</v>
      </c>
      <c r="J277" t="n">
        <v>0</v>
      </c>
      <c r="K277" t="n">
        <v>0</v>
      </c>
      <c r="L277" t="n">
        <v>0</v>
      </c>
      <c r="M277" t="n">
        <v>0</v>
      </c>
      <c r="N277" t="n">
        <v>0</v>
      </c>
      <c r="O277" t="n">
        <v>0</v>
      </c>
      <c r="P277" t="n">
        <v>0</v>
      </c>
      <c r="Q277" t="n">
        <v>0</v>
      </c>
      <c r="R277" t="n">
        <v>0</v>
      </c>
      <c r="S277" t="n">
        <v>0</v>
      </c>
      <c r="T277" t="n">
        <v>0</v>
      </c>
      <c r="U277" s="2" t="inlineStr"/>
    </row>
    <row r="278" ht="15" customHeight="1">
      <c r="A278" t="inlineStr">
        <is>
          <t>A 20506-2022</t>
        </is>
      </c>
      <c r="B278" t="inlineStr">
        <is>
          <t>avverkningsanmälan</t>
        </is>
      </c>
      <c r="C278" t="inlineStr">
        <is>
          <t>Föryngringsavverkning</t>
        </is>
      </c>
      <c r="D278" s="1" t="n">
        <v>44699</v>
      </c>
      <c r="E278" s="1" t="n">
        <v>46217</v>
      </c>
      <c r="F278" t="inlineStr">
        <is>
          <t>SÖDERMANLANDS LÄN</t>
        </is>
      </c>
      <c r="G278" t="inlineStr">
        <is>
          <t>STRÄNGNÄS</t>
        </is>
      </c>
      <c r="I278" t="n">
        <v>1.9</v>
      </c>
      <c r="J278" t="n">
        <v>0</v>
      </c>
      <c r="K278" t="n">
        <v>0</v>
      </c>
      <c r="L278" t="n">
        <v>0</v>
      </c>
      <c r="M278" t="n">
        <v>0</v>
      </c>
      <c r="N278" t="n">
        <v>0</v>
      </c>
      <c r="O278" t="n">
        <v>0</v>
      </c>
      <c r="P278" t="n">
        <v>0</v>
      </c>
      <c r="Q278" t="n">
        <v>0</v>
      </c>
      <c r="R278" t="n">
        <v>0</v>
      </c>
      <c r="S278" t="n">
        <v>0</v>
      </c>
      <c r="T278" t="n">
        <v>0</v>
      </c>
      <c r="U278" s="2" t="inlineStr"/>
    </row>
    <row r="279" ht="15" customHeight="1">
      <c r="A279" t="inlineStr">
        <is>
          <t>A 53904-2022</t>
        </is>
      </c>
      <c r="B279" t="inlineStr">
        <is>
          <t>avverkningsanmälan</t>
        </is>
      </c>
      <c r="C279" t="inlineStr">
        <is>
          <t>Föryngringsavverkning</t>
        </is>
      </c>
      <c r="D279" s="1" t="n">
        <v>44880</v>
      </c>
      <c r="E279" s="1" t="n">
        <v>46217</v>
      </c>
      <c r="F279" t="inlineStr">
        <is>
          <t>SÖDERMANLANDS LÄN</t>
        </is>
      </c>
      <c r="G279" t="inlineStr">
        <is>
          <t>STRÄNGNÄS</t>
        </is>
      </c>
      <c r="I279" t="n">
        <v>2.9</v>
      </c>
      <c r="J279" t="n">
        <v>0</v>
      </c>
      <c r="K279" t="n">
        <v>0</v>
      </c>
      <c r="L279" t="n">
        <v>0</v>
      </c>
      <c r="M279" t="n">
        <v>0</v>
      </c>
      <c r="N279" t="n">
        <v>0</v>
      </c>
      <c r="O279" t="n">
        <v>0</v>
      </c>
      <c r="P279" t="n">
        <v>0</v>
      </c>
      <c r="Q279" t="n">
        <v>0</v>
      </c>
      <c r="R279" t="n">
        <v>0</v>
      </c>
      <c r="S279" t="n">
        <v>0</v>
      </c>
      <c r="T279" t="n">
        <v>0</v>
      </c>
      <c r="U279" s="2" t="inlineStr"/>
    </row>
    <row r="280" ht="15" customHeight="1">
      <c r="A280" t="inlineStr">
        <is>
          <t>A 34391-2024</t>
        </is>
      </c>
      <c r="B280" t="inlineStr">
        <is>
          <t>avverkningsanmälan</t>
        </is>
      </c>
      <c r="C280" t="inlineStr">
        <is>
          <t>Föryngringsavverkning</t>
        </is>
      </c>
      <c r="D280" s="1" t="n">
        <v>45525</v>
      </c>
      <c r="E280" s="1" t="n">
        <v>46217</v>
      </c>
      <c r="F280" t="inlineStr">
        <is>
          <t>SÖDERMANLANDS LÄN</t>
        </is>
      </c>
      <c r="G280" t="inlineStr">
        <is>
          <t>STRÄNGNÄS</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11243-2023</t>
        </is>
      </c>
      <c r="B281" t="inlineStr">
        <is>
          <t>avverkningsanmälan</t>
        </is>
      </c>
      <c r="C281" t="inlineStr">
        <is>
          <t>Avverkning för annat ändamål</t>
        </is>
      </c>
      <c r="D281" s="1" t="n">
        <v>44992</v>
      </c>
      <c r="E281" s="1" t="n">
        <v>46217</v>
      </c>
      <c r="F281" t="inlineStr">
        <is>
          <t>SÖDERMANLANDS LÄN</t>
        </is>
      </c>
      <c r="G281" t="inlineStr">
        <is>
          <t>STRÄNGNÄS</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71414-2021</t>
        </is>
      </c>
      <c r="B282" t="inlineStr">
        <is>
          <t>avverkningsanmälan</t>
        </is>
      </c>
      <c r="C282" t="inlineStr">
        <is>
          <t>Föryngringsavverkning</t>
        </is>
      </c>
      <c r="D282" s="1" t="n">
        <v>44540</v>
      </c>
      <c r="E282" s="1" t="n">
        <v>46217</v>
      </c>
      <c r="F282" t="inlineStr">
        <is>
          <t>SÖDERMANLANDS LÄN</t>
        </is>
      </c>
      <c r="G282" t="inlineStr">
        <is>
          <t>STRÄNGNÄS</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58518-2021</t>
        </is>
      </c>
      <c r="B283" t="inlineStr">
        <is>
          <t>avverkningsanmälan</t>
        </is>
      </c>
      <c r="C283" t="inlineStr">
        <is>
          <t>Föryngringsavverkning</t>
        </is>
      </c>
      <c r="D283" s="1" t="n">
        <v>44488</v>
      </c>
      <c r="E283" s="1" t="n">
        <v>46217</v>
      </c>
      <c r="F283" t="inlineStr">
        <is>
          <t>SÖDERMANLANDS LÄN</t>
        </is>
      </c>
      <c r="G283" t="inlineStr">
        <is>
          <t>STRÄNGNÄS</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12114-2023</t>
        </is>
      </c>
      <c r="B284" t="inlineStr">
        <is>
          <t>avverkningsanmälan</t>
        </is>
      </c>
      <c r="C284" t="inlineStr">
        <is>
          <t>Föryngringsavverkning</t>
        </is>
      </c>
      <c r="D284" s="1" t="n">
        <v>44998</v>
      </c>
      <c r="E284" s="1" t="n">
        <v>46217</v>
      </c>
      <c r="F284" t="inlineStr">
        <is>
          <t>SÖDERMANLANDS LÄN</t>
        </is>
      </c>
      <c r="G284" t="inlineStr">
        <is>
          <t>STRÄNGNÄS</t>
        </is>
      </c>
      <c r="I284" t="n">
        <v>7</v>
      </c>
      <c r="J284" t="n">
        <v>0</v>
      </c>
      <c r="K284" t="n">
        <v>0</v>
      </c>
      <c r="L284" t="n">
        <v>0</v>
      </c>
      <c r="M284" t="n">
        <v>0</v>
      </c>
      <c r="N284" t="n">
        <v>0</v>
      </c>
      <c r="O284" t="n">
        <v>0</v>
      </c>
      <c r="P284" t="n">
        <v>0</v>
      </c>
      <c r="Q284" t="n">
        <v>0</v>
      </c>
      <c r="R284" t="n">
        <v>0</v>
      </c>
      <c r="S284" t="n">
        <v>0</v>
      </c>
      <c r="T284" t="n">
        <v>0</v>
      </c>
      <c r="U284" s="2" t="inlineStr"/>
    </row>
    <row r="285" ht="15" customHeight="1">
      <c r="A285" t="inlineStr">
        <is>
          <t>A 44618-2023</t>
        </is>
      </c>
      <c r="B285" t="inlineStr">
        <is>
          <t>avverkningsanmälan</t>
        </is>
      </c>
      <c r="C285" t="inlineStr">
        <is>
          <t>Föryngringsavverkning</t>
        </is>
      </c>
      <c r="D285" s="1" t="n">
        <v>45189</v>
      </c>
      <c r="E285" s="1" t="n">
        <v>46217</v>
      </c>
      <c r="F285" t="inlineStr">
        <is>
          <t>SÖDERMANLANDS LÄN</t>
        </is>
      </c>
      <c r="G285" t="inlineStr">
        <is>
          <t>STRÄNGNÄS</t>
        </is>
      </c>
      <c r="I285" t="n">
        <v>4.5</v>
      </c>
      <c r="J285" t="n">
        <v>0</v>
      </c>
      <c r="K285" t="n">
        <v>0</v>
      </c>
      <c r="L285" t="n">
        <v>0</v>
      </c>
      <c r="M285" t="n">
        <v>0</v>
      </c>
      <c r="N285" t="n">
        <v>0</v>
      </c>
      <c r="O285" t="n">
        <v>0</v>
      </c>
      <c r="P285" t="n">
        <v>0</v>
      </c>
      <c r="Q285" t="n">
        <v>0</v>
      </c>
      <c r="R285" t="n">
        <v>0</v>
      </c>
      <c r="S285" t="n">
        <v>0</v>
      </c>
      <c r="T285" t="n">
        <v>0</v>
      </c>
      <c r="U285" s="2" t="inlineStr"/>
    </row>
    <row r="286" ht="15" customHeight="1">
      <c r="A286" t="inlineStr">
        <is>
          <t>A 23001-2023</t>
        </is>
      </c>
      <c r="B286" t="inlineStr">
        <is>
          <t>avverkningsanmälan</t>
        </is>
      </c>
      <c r="C286" t="inlineStr">
        <is>
          <t>Föryngringsavverkning</t>
        </is>
      </c>
      <c r="D286" s="1" t="n">
        <v>45072</v>
      </c>
      <c r="E286" s="1" t="n">
        <v>46217</v>
      </c>
      <c r="F286" t="inlineStr">
        <is>
          <t>SÖDERMANLANDS LÄN</t>
        </is>
      </c>
      <c r="G286" t="inlineStr">
        <is>
          <t>STRÄNGNÄS</t>
        </is>
      </c>
      <c r="I286" t="n">
        <v>1.8</v>
      </c>
      <c r="J286" t="n">
        <v>0</v>
      </c>
      <c r="K286" t="n">
        <v>0</v>
      </c>
      <c r="L286" t="n">
        <v>0</v>
      </c>
      <c r="M286" t="n">
        <v>0</v>
      </c>
      <c r="N286" t="n">
        <v>0</v>
      </c>
      <c r="O286" t="n">
        <v>0</v>
      </c>
      <c r="P286" t="n">
        <v>0</v>
      </c>
      <c r="Q286" t="n">
        <v>0</v>
      </c>
      <c r="R286" t="n">
        <v>0</v>
      </c>
      <c r="S286" t="n">
        <v>0</v>
      </c>
      <c r="T286" t="n">
        <v>0</v>
      </c>
      <c r="U286" s="2" t="inlineStr"/>
    </row>
    <row r="287" ht="15" customHeight="1">
      <c r="A287" t="inlineStr">
        <is>
          <t>A 9704-2022</t>
        </is>
      </c>
      <c r="B287" t="inlineStr">
        <is>
          <t>avverkningsanmälan</t>
        </is>
      </c>
      <c r="C287" t="inlineStr">
        <is>
          <t>Föryngringsavverkning</t>
        </is>
      </c>
      <c r="D287" s="1" t="n">
        <v>44617</v>
      </c>
      <c r="E287" s="1" t="n">
        <v>46217</v>
      </c>
      <c r="F287" t="inlineStr">
        <is>
          <t>SÖDERMANLANDS LÄN</t>
        </is>
      </c>
      <c r="G287" t="inlineStr">
        <is>
          <t>STRÄNGNÄS</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18508-2024</t>
        </is>
      </c>
      <c r="B288" t="inlineStr">
        <is>
          <t>avverkningsanmälan</t>
        </is>
      </c>
      <c r="C288" t="inlineStr">
        <is>
          <t>Föryngringsavverkning</t>
        </is>
      </c>
      <c r="D288" s="1" t="n">
        <v>45425</v>
      </c>
      <c r="E288" s="1" t="n">
        <v>46217</v>
      </c>
      <c r="F288" t="inlineStr">
        <is>
          <t>SÖDERMANLANDS LÄN</t>
        </is>
      </c>
      <c r="G288" t="inlineStr">
        <is>
          <t>STRÄNGNÄS</t>
        </is>
      </c>
      <c r="I288" t="n">
        <v>4.7</v>
      </c>
      <c r="J288" t="n">
        <v>0</v>
      </c>
      <c r="K288" t="n">
        <v>0</v>
      </c>
      <c r="L288" t="n">
        <v>0</v>
      </c>
      <c r="M288" t="n">
        <v>0</v>
      </c>
      <c r="N288" t="n">
        <v>0</v>
      </c>
      <c r="O288" t="n">
        <v>0</v>
      </c>
      <c r="P288" t="n">
        <v>0</v>
      </c>
      <c r="Q288" t="n">
        <v>0</v>
      </c>
      <c r="R288" t="n">
        <v>0</v>
      </c>
      <c r="S288" t="n">
        <v>0</v>
      </c>
      <c r="T288" t="n">
        <v>0</v>
      </c>
      <c r="U288" s="2" t="inlineStr"/>
    </row>
    <row r="289" ht="15" customHeight="1">
      <c r="A289" t="inlineStr">
        <is>
          <t>A 13613-2023</t>
        </is>
      </c>
      <c r="B289" t="inlineStr">
        <is>
          <t>avverkningsanmälan</t>
        </is>
      </c>
      <c r="C289" t="inlineStr">
        <is>
          <t>Föryngringsavverkning</t>
        </is>
      </c>
      <c r="D289" s="1" t="n">
        <v>45006</v>
      </c>
      <c r="E289" s="1" t="n">
        <v>46217</v>
      </c>
      <c r="F289" t="inlineStr">
        <is>
          <t>SÖDERMANLANDS LÄN</t>
        </is>
      </c>
      <c r="G289" t="inlineStr">
        <is>
          <t>STRÄNGNÄS</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21015-2023</t>
        </is>
      </c>
      <c r="B290" t="inlineStr">
        <is>
          <t>avverkningsanmälan</t>
        </is>
      </c>
      <c r="C290" t="inlineStr">
        <is>
          <t>Föryngringsavverkning</t>
        </is>
      </c>
      <c r="D290" s="1" t="n">
        <v>45056</v>
      </c>
      <c r="E290" s="1" t="n">
        <v>46217</v>
      </c>
      <c r="F290" t="inlineStr">
        <is>
          <t>SÖDERMANLANDS LÄN</t>
        </is>
      </c>
      <c r="G290" t="inlineStr">
        <is>
          <t>STRÄNGNÄS</t>
        </is>
      </c>
      <c r="I290" t="n">
        <v>5.2</v>
      </c>
      <c r="J290" t="n">
        <v>0</v>
      </c>
      <c r="K290" t="n">
        <v>0</v>
      </c>
      <c r="L290" t="n">
        <v>0</v>
      </c>
      <c r="M290" t="n">
        <v>0</v>
      </c>
      <c r="N290" t="n">
        <v>0</v>
      </c>
      <c r="O290" t="n">
        <v>0</v>
      </c>
      <c r="P290" t="n">
        <v>0</v>
      </c>
      <c r="Q290" t="n">
        <v>0</v>
      </c>
      <c r="R290" t="n">
        <v>0</v>
      </c>
      <c r="S290" t="n">
        <v>0</v>
      </c>
      <c r="T290" t="n">
        <v>0</v>
      </c>
      <c r="U290" s="2" t="inlineStr"/>
    </row>
    <row r="291" ht="15" customHeight="1">
      <c r="A291" t="inlineStr">
        <is>
          <t>A 30375-2022</t>
        </is>
      </c>
      <c r="B291" t="inlineStr">
        <is>
          <t>avverkningsanmälan</t>
        </is>
      </c>
      <c r="C291" t="inlineStr">
        <is>
          <t>Föryngringsavverkning</t>
        </is>
      </c>
      <c r="D291" s="1" t="n">
        <v>44760</v>
      </c>
      <c r="E291" s="1" t="n">
        <v>46217</v>
      </c>
      <c r="F291" t="inlineStr">
        <is>
          <t>SÖDERMANLANDS LÄN</t>
        </is>
      </c>
      <c r="G291" t="inlineStr">
        <is>
          <t>STRÄNGNÄS</t>
        </is>
      </c>
      <c r="I291" t="n">
        <v>5</v>
      </c>
      <c r="J291" t="n">
        <v>0</v>
      </c>
      <c r="K291" t="n">
        <v>0</v>
      </c>
      <c r="L291" t="n">
        <v>0</v>
      </c>
      <c r="M291" t="n">
        <v>0</v>
      </c>
      <c r="N291" t="n">
        <v>0</v>
      </c>
      <c r="O291" t="n">
        <v>0</v>
      </c>
      <c r="P291" t="n">
        <v>0</v>
      </c>
      <c r="Q291" t="n">
        <v>0</v>
      </c>
      <c r="R291" t="n">
        <v>0</v>
      </c>
      <c r="S291" t="n">
        <v>0</v>
      </c>
      <c r="T291" t="n">
        <v>0</v>
      </c>
      <c r="U291" s="2" t="inlineStr"/>
    </row>
    <row r="292" ht="15" customHeight="1">
      <c r="A292" t="inlineStr">
        <is>
          <t>A 56914-2022</t>
        </is>
      </c>
      <c r="B292" t="inlineStr">
        <is>
          <t>avverkningsanmälan</t>
        </is>
      </c>
      <c r="C292" t="inlineStr">
        <is>
          <t>Föryngringsavverkning</t>
        </is>
      </c>
      <c r="D292" s="1" t="n">
        <v>44894</v>
      </c>
      <c r="E292" s="1" t="n">
        <v>46217</v>
      </c>
      <c r="F292" t="inlineStr">
        <is>
          <t>SÖDERMANLANDS LÄN</t>
        </is>
      </c>
      <c r="G292" t="inlineStr">
        <is>
          <t>STRÄNGNÄS</t>
        </is>
      </c>
      <c r="I292" t="n">
        <v>13.2</v>
      </c>
      <c r="J292" t="n">
        <v>0</v>
      </c>
      <c r="K292" t="n">
        <v>0</v>
      </c>
      <c r="L292" t="n">
        <v>0</v>
      </c>
      <c r="M292" t="n">
        <v>0</v>
      </c>
      <c r="N292" t="n">
        <v>0</v>
      </c>
      <c r="O292" t="n">
        <v>0</v>
      </c>
      <c r="P292" t="n">
        <v>0</v>
      </c>
      <c r="Q292" t="n">
        <v>0</v>
      </c>
      <c r="R292" t="n">
        <v>0</v>
      </c>
      <c r="S292" t="n">
        <v>0</v>
      </c>
      <c r="T292" t="n">
        <v>0</v>
      </c>
      <c r="U292" s="2" t="inlineStr"/>
    </row>
    <row r="293" ht="15" customHeight="1">
      <c r="A293" t="inlineStr">
        <is>
          <t>A 18242-2023</t>
        </is>
      </c>
      <c r="B293" t="inlineStr">
        <is>
          <t>avverkningsanmälan</t>
        </is>
      </c>
      <c r="C293" t="inlineStr">
        <is>
          <t>Föryngringsavverkning</t>
        </is>
      </c>
      <c r="D293" s="1" t="n">
        <v>45041</v>
      </c>
      <c r="E293" s="1" t="n">
        <v>46217</v>
      </c>
      <c r="F293" t="inlineStr">
        <is>
          <t>SÖDERMANLANDS LÄN</t>
        </is>
      </c>
      <c r="G293" t="inlineStr">
        <is>
          <t>STRÄNGNÄS</t>
        </is>
      </c>
      <c r="H293" t="inlineStr">
        <is>
          <t>Allmännings- och besparingsskogar</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18358-2024</t>
        </is>
      </c>
      <c r="B294" t="inlineStr">
        <is>
          <t>avverkningsanmälan</t>
        </is>
      </c>
      <c r="C294" t="inlineStr">
        <is>
          <t>Föryngringsavverkning</t>
        </is>
      </c>
      <c r="D294" s="1" t="n">
        <v>45422</v>
      </c>
      <c r="E294" s="1" t="n">
        <v>46217</v>
      </c>
      <c r="F294" t="inlineStr">
        <is>
          <t>SÖDERMANLANDS LÄN</t>
        </is>
      </c>
      <c r="G294" t="inlineStr">
        <is>
          <t>STRÄNGNÄS</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10350-2023</t>
        </is>
      </c>
      <c r="B295" t="inlineStr">
        <is>
          <t>avverkningsanmälan</t>
        </is>
      </c>
      <c r="C295" t="inlineStr">
        <is>
          <t>Föryngringsavverkning</t>
        </is>
      </c>
      <c r="D295" s="1" t="n">
        <v>44987</v>
      </c>
      <c r="E295" s="1" t="n">
        <v>46217</v>
      </c>
      <c r="F295" t="inlineStr">
        <is>
          <t>SÖDERMANLANDS LÄN</t>
        </is>
      </c>
      <c r="G295" t="inlineStr">
        <is>
          <t>STRÄNGNÄS</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5849-2023</t>
        </is>
      </c>
      <c r="B296" t="inlineStr">
        <is>
          <t>avverkningsanmälan</t>
        </is>
      </c>
      <c r="C296" t="inlineStr">
        <is>
          <t>Föryngringsavverkning</t>
        </is>
      </c>
      <c r="D296" s="1" t="n">
        <v>44963</v>
      </c>
      <c r="E296" s="1" t="n">
        <v>46217</v>
      </c>
      <c r="F296" t="inlineStr">
        <is>
          <t>SÖDERMANLANDS LÄN</t>
        </is>
      </c>
      <c r="G296" t="inlineStr">
        <is>
          <t>STRÄNGNÄS</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43669-2022</t>
        </is>
      </c>
      <c r="B297" t="inlineStr">
        <is>
          <t>avverkningsanmälan</t>
        </is>
      </c>
      <c r="C297" t="inlineStr">
        <is>
          <t>Föryngringsavverkning</t>
        </is>
      </c>
      <c r="D297" s="1" t="n">
        <v>44834</v>
      </c>
      <c r="E297" s="1" t="n">
        <v>46217</v>
      </c>
      <c r="F297" t="inlineStr">
        <is>
          <t>SÖDERMANLANDS LÄN</t>
        </is>
      </c>
      <c r="G297" t="inlineStr">
        <is>
          <t>STRÄNGNÄS</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14847-2023</t>
        </is>
      </c>
      <c r="B298" t="inlineStr">
        <is>
          <t>avverkningsanmälan</t>
        </is>
      </c>
      <c r="C298" t="inlineStr">
        <is>
          <t>Föryngringsavverkning</t>
        </is>
      </c>
      <c r="D298" s="1" t="n">
        <v>45014</v>
      </c>
      <c r="E298" s="1" t="n">
        <v>46217</v>
      </c>
      <c r="F298" t="inlineStr">
        <is>
          <t>SÖDERMANLANDS LÄN</t>
        </is>
      </c>
      <c r="G298" t="inlineStr">
        <is>
          <t>STRÄNGNÄS</t>
        </is>
      </c>
      <c r="H298" t="inlineStr">
        <is>
          <t>Allmännings- och besparingsskogar</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25542-2023</t>
        </is>
      </c>
      <c r="B299" t="inlineStr">
        <is>
          <t>avverkningsanmälan</t>
        </is>
      </c>
      <c r="C299" t="inlineStr">
        <is>
          <t>Föryngringsavverkning</t>
        </is>
      </c>
      <c r="D299" s="1" t="n">
        <v>45089</v>
      </c>
      <c r="E299" s="1" t="n">
        <v>46217</v>
      </c>
      <c r="F299" t="inlineStr">
        <is>
          <t>SÖDERMANLANDS LÄN</t>
        </is>
      </c>
      <c r="G299" t="inlineStr">
        <is>
          <t>STRÄNGNÄS</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20938-2023</t>
        </is>
      </c>
      <c r="B300" t="inlineStr">
        <is>
          <t>avverkningsanmälan</t>
        </is>
      </c>
      <c r="C300" t="inlineStr">
        <is>
          <t>Föryngringsavverkning</t>
        </is>
      </c>
      <c r="D300" s="1" t="n">
        <v>45061</v>
      </c>
      <c r="E300" s="1" t="n">
        <v>46217</v>
      </c>
      <c r="F300" t="inlineStr">
        <is>
          <t>SÖDERMANLANDS LÄN</t>
        </is>
      </c>
      <c r="G300" t="inlineStr">
        <is>
          <t>STRÄNGNÄS</t>
        </is>
      </c>
      <c r="I300" t="n">
        <v>3.8</v>
      </c>
      <c r="J300" t="n">
        <v>0</v>
      </c>
      <c r="K300" t="n">
        <v>0</v>
      </c>
      <c r="L300" t="n">
        <v>0</v>
      </c>
      <c r="M300" t="n">
        <v>0</v>
      </c>
      <c r="N300" t="n">
        <v>0</v>
      </c>
      <c r="O300" t="n">
        <v>0</v>
      </c>
      <c r="P300" t="n">
        <v>0</v>
      </c>
      <c r="Q300" t="n">
        <v>0</v>
      </c>
      <c r="R300" t="n">
        <v>0</v>
      </c>
      <c r="S300" t="n">
        <v>0</v>
      </c>
      <c r="T300" t="n">
        <v>0</v>
      </c>
      <c r="U300" s="2" t="inlineStr"/>
    </row>
    <row r="301" ht="15" customHeight="1">
      <c r="A301" t="inlineStr">
        <is>
          <t>A 26282-2023</t>
        </is>
      </c>
      <c r="B301" t="inlineStr">
        <is>
          <t>avverkningsanmälan</t>
        </is>
      </c>
      <c r="C301" t="inlineStr">
        <is>
          <t>Föryngringsavverkning</t>
        </is>
      </c>
      <c r="D301" s="1" t="n">
        <v>45091</v>
      </c>
      <c r="E301" s="1" t="n">
        <v>46217</v>
      </c>
      <c r="F301" t="inlineStr">
        <is>
          <t>SÖDERMANLANDS LÄN</t>
        </is>
      </c>
      <c r="G301" t="inlineStr">
        <is>
          <t>STRÄNGNÄS</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34364-2023</t>
        </is>
      </c>
      <c r="B302" t="inlineStr">
        <is>
          <t>avverkningsanmälan</t>
        </is>
      </c>
      <c r="C302" t="inlineStr">
        <is>
          <t>Föryngringsavverkning</t>
        </is>
      </c>
      <c r="D302" s="1" t="n">
        <v>45131</v>
      </c>
      <c r="E302" s="1" t="n">
        <v>46217</v>
      </c>
      <c r="F302" t="inlineStr">
        <is>
          <t>SÖDERMANLANDS LÄN</t>
        </is>
      </c>
      <c r="G302" t="inlineStr">
        <is>
          <t>STRÄNGNÄS</t>
        </is>
      </c>
      <c r="I302" t="n">
        <v>3.8</v>
      </c>
      <c r="J302" t="n">
        <v>0</v>
      </c>
      <c r="K302" t="n">
        <v>0</v>
      </c>
      <c r="L302" t="n">
        <v>0</v>
      </c>
      <c r="M302" t="n">
        <v>0</v>
      </c>
      <c r="N302" t="n">
        <v>0</v>
      </c>
      <c r="O302" t="n">
        <v>0</v>
      </c>
      <c r="P302" t="n">
        <v>0</v>
      </c>
      <c r="Q302" t="n">
        <v>0</v>
      </c>
      <c r="R302" t="n">
        <v>0</v>
      </c>
      <c r="S302" t="n">
        <v>0</v>
      </c>
      <c r="T302" t="n">
        <v>0</v>
      </c>
      <c r="U302" s="2" t="inlineStr"/>
    </row>
    <row r="303" ht="15" customHeight="1">
      <c r="A303" t="inlineStr">
        <is>
          <t>A 51763-2022</t>
        </is>
      </c>
      <c r="B303" t="inlineStr">
        <is>
          <t>avverkningsanmälan</t>
        </is>
      </c>
      <c r="C303" t="inlineStr">
        <is>
          <t>Föryngringsavverkning</t>
        </is>
      </c>
      <c r="D303" s="1" t="n">
        <v>44872</v>
      </c>
      <c r="E303" s="1" t="n">
        <v>46217</v>
      </c>
      <c r="F303" t="inlineStr">
        <is>
          <t>SÖDERMANLANDS LÄN</t>
        </is>
      </c>
      <c r="G303" t="inlineStr">
        <is>
          <t>STRÄNGNÄS</t>
        </is>
      </c>
      <c r="I303" t="n">
        <v>2.8</v>
      </c>
      <c r="J303" t="n">
        <v>0</v>
      </c>
      <c r="K303" t="n">
        <v>0</v>
      </c>
      <c r="L303" t="n">
        <v>0</v>
      </c>
      <c r="M303" t="n">
        <v>0</v>
      </c>
      <c r="N303" t="n">
        <v>0</v>
      </c>
      <c r="O303" t="n">
        <v>0</v>
      </c>
      <c r="P303" t="n">
        <v>0</v>
      </c>
      <c r="Q303" t="n">
        <v>0</v>
      </c>
      <c r="R303" t="n">
        <v>0</v>
      </c>
      <c r="S303" t="n">
        <v>0</v>
      </c>
      <c r="T303" t="n">
        <v>0</v>
      </c>
      <c r="U303" s="2" t="inlineStr"/>
    </row>
    <row r="304" ht="15" customHeight="1">
      <c r="A304" t="inlineStr">
        <is>
          <t>A 20815-2023</t>
        </is>
      </c>
      <c r="B304" t="inlineStr">
        <is>
          <t>avverkningsanmälan</t>
        </is>
      </c>
      <c r="C304" t="inlineStr">
        <is>
          <t>Föryngringsavverkning</t>
        </is>
      </c>
      <c r="D304" s="1" t="n">
        <v>45058</v>
      </c>
      <c r="E304" s="1" t="n">
        <v>46217</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67925-2021</t>
        </is>
      </c>
      <c r="B305" t="inlineStr">
        <is>
          <t>avverkningsanmälan</t>
        </is>
      </c>
      <c r="C305" t="inlineStr">
        <is>
          <t>Föryngringsavverkning</t>
        </is>
      </c>
      <c r="D305" s="1" t="n">
        <v>44525</v>
      </c>
      <c r="E305" s="1" t="n">
        <v>46217</v>
      </c>
      <c r="F305" t="inlineStr">
        <is>
          <t>SÖDERMANLANDS LÄN</t>
        </is>
      </c>
      <c r="G305" t="inlineStr">
        <is>
          <t>STRÄNGNÄS</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13259-2022</t>
        </is>
      </c>
      <c r="B306" t="inlineStr">
        <is>
          <t>avverkningsanmälan</t>
        </is>
      </c>
      <c r="C306" t="inlineStr">
        <is>
          <t>Föryngringsavverkning</t>
        </is>
      </c>
      <c r="D306" s="1" t="n">
        <v>44644</v>
      </c>
      <c r="E306" s="1" t="n">
        <v>46217</v>
      </c>
      <c r="F306" t="inlineStr">
        <is>
          <t>SÖDERMANLANDS LÄN</t>
        </is>
      </c>
      <c r="G306" t="inlineStr">
        <is>
          <t>STRÄNGNÄS</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42726-2023</t>
        </is>
      </c>
      <c r="B307" t="inlineStr">
        <is>
          <t>avverkningsanmälan</t>
        </is>
      </c>
      <c r="C307" t="inlineStr">
        <is>
          <t>Föryngringsavverkning</t>
        </is>
      </c>
      <c r="D307" s="1" t="n">
        <v>45181</v>
      </c>
      <c r="E307" s="1" t="n">
        <v>46217</v>
      </c>
      <c r="F307" t="inlineStr">
        <is>
          <t>SÖDERMANLANDS LÄN</t>
        </is>
      </c>
      <c r="G307" t="inlineStr">
        <is>
          <t>STRÄNGNÄS</t>
        </is>
      </c>
      <c r="I307" t="n">
        <v>2.7</v>
      </c>
      <c r="J307" t="n">
        <v>0</v>
      </c>
      <c r="K307" t="n">
        <v>0</v>
      </c>
      <c r="L307" t="n">
        <v>0</v>
      </c>
      <c r="M307" t="n">
        <v>0</v>
      </c>
      <c r="N307" t="n">
        <v>0</v>
      </c>
      <c r="O307" t="n">
        <v>0</v>
      </c>
      <c r="P307" t="n">
        <v>0</v>
      </c>
      <c r="Q307" t="n">
        <v>0</v>
      </c>
      <c r="R307" t="n">
        <v>0</v>
      </c>
      <c r="S307" t="n">
        <v>0</v>
      </c>
      <c r="T307" t="n">
        <v>0</v>
      </c>
      <c r="U307" s="2" t="inlineStr"/>
    </row>
    <row r="308" ht="15" customHeight="1">
      <c r="A308" t="inlineStr">
        <is>
          <t>A 9232-2023</t>
        </is>
      </c>
      <c r="B308" t="inlineStr">
        <is>
          <t>avverkningsanmälan</t>
        </is>
      </c>
      <c r="C308" t="inlineStr">
        <is>
          <t>Föryngringsavverkning</t>
        </is>
      </c>
      <c r="D308" s="1" t="n">
        <v>44980</v>
      </c>
      <c r="E308" s="1" t="n">
        <v>46217</v>
      </c>
      <c r="F308" t="inlineStr">
        <is>
          <t>SÖDERMANLANDS LÄN</t>
        </is>
      </c>
      <c r="G308" t="inlineStr">
        <is>
          <t>STRÄNGNÄS</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10346-2023</t>
        </is>
      </c>
      <c r="B309" t="inlineStr">
        <is>
          <t>avverkningsanmälan</t>
        </is>
      </c>
      <c r="C309" t="inlineStr">
        <is>
          <t>Föryngringsavverkning</t>
        </is>
      </c>
      <c r="D309" s="1" t="n">
        <v>44987</v>
      </c>
      <c r="E309" s="1" t="n">
        <v>46217</v>
      </c>
      <c r="F309" t="inlineStr">
        <is>
          <t>SÖDERMANLANDS LÄN</t>
        </is>
      </c>
      <c r="G309" t="inlineStr">
        <is>
          <t>STRÄNGNÄS</t>
        </is>
      </c>
      <c r="I309" t="n">
        <v>1.6</v>
      </c>
      <c r="J309" t="n">
        <v>0</v>
      </c>
      <c r="K309" t="n">
        <v>0</v>
      </c>
      <c r="L309" t="n">
        <v>0</v>
      </c>
      <c r="M309" t="n">
        <v>0</v>
      </c>
      <c r="N309" t="n">
        <v>0</v>
      </c>
      <c r="O309" t="n">
        <v>0</v>
      </c>
      <c r="P309" t="n">
        <v>0</v>
      </c>
      <c r="Q309" t="n">
        <v>0</v>
      </c>
      <c r="R309" t="n">
        <v>0</v>
      </c>
      <c r="S309" t="n">
        <v>0</v>
      </c>
      <c r="T309" t="n">
        <v>0</v>
      </c>
      <c r="U309" s="2" t="inlineStr"/>
    </row>
    <row r="310" ht="15" customHeight="1">
      <c r="A310" t="inlineStr">
        <is>
          <t>A 58022-2022</t>
        </is>
      </c>
      <c r="B310" t="inlineStr">
        <is>
          <t>avverkningsanmälan</t>
        </is>
      </c>
      <c r="C310" t="inlineStr">
        <is>
          <t>Föryngringsavverkning</t>
        </is>
      </c>
      <c r="D310" s="1" t="n">
        <v>44900</v>
      </c>
      <c r="E310" s="1" t="n">
        <v>46217</v>
      </c>
      <c r="F310" t="inlineStr">
        <is>
          <t>SÖDERMANLANDS LÄN</t>
        </is>
      </c>
      <c r="G310" t="inlineStr">
        <is>
          <t>STRÄNGNÄS</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43387-2022</t>
        </is>
      </c>
      <c r="B311" t="inlineStr">
        <is>
          <t>avverkningsanmälan</t>
        </is>
      </c>
      <c r="C311" t="inlineStr">
        <is>
          <t>Föryngringsavverkning</t>
        </is>
      </c>
      <c r="D311" s="1" t="n">
        <v>44834</v>
      </c>
      <c r="E311" s="1" t="n">
        <v>46217</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9034-2023</t>
        </is>
      </c>
      <c r="B312" t="inlineStr">
        <is>
          <t>avverkningsanmälan</t>
        </is>
      </c>
      <c r="C312" t="inlineStr">
        <is>
          <t>Avverkning för annat ändamål</t>
        </is>
      </c>
      <c r="D312" s="1" t="n">
        <v>44979</v>
      </c>
      <c r="E312" s="1" t="n">
        <v>46217</v>
      </c>
      <c r="F312" t="inlineStr">
        <is>
          <t>SÖDERMANLANDS LÄN</t>
        </is>
      </c>
      <c r="G312" t="inlineStr">
        <is>
          <t>STRÄNGNÄS</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5805-2022</t>
        </is>
      </c>
      <c r="B313" t="inlineStr">
        <is>
          <t>avverkningsanmälan</t>
        </is>
      </c>
      <c r="C313" t="inlineStr">
        <is>
          <t>Föryngringsavverkning</t>
        </is>
      </c>
      <c r="D313" s="1" t="n">
        <v>44596</v>
      </c>
      <c r="E313" s="1" t="n">
        <v>46217</v>
      </c>
      <c r="F313" t="inlineStr">
        <is>
          <t>SÖDERMANLANDS LÄN</t>
        </is>
      </c>
      <c r="G313" t="inlineStr">
        <is>
          <t>STRÄNGNÄS</t>
        </is>
      </c>
      <c r="I313" t="n">
        <v>2.2</v>
      </c>
      <c r="J313" t="n">
        <v>0</v>
      </c>
      <c r="K313" t="n">
        <v>0</v>
      </c>
      <c r="L313" t="n">
        <v>0</v>
      </c>
      <c r="M313" t="n">
        <v>0</v>
      </c>
      <c r="N313" t="n">
        <v>0</v>
      </c>
      <c r="O313" t="n">
        <v>0</v>
      </c>
      <c r="P313" t="n">
        <v>0</v>
      </c>
      <c r="Q313" t="n">
        <v>0</v>
      </c>
      <c r="R313" t="n">
        <v>0</v>
      </c>
      <c r="S313" t="n">
        <v>0</v>
      </c>
      <c r="T313" t="n">
        <v>0</v>
      </c>
      <c r="U313" s="2" t="inlineStr"/>
    </row>
    <row r="314" ht="15" customHeight="1">
      <c r="A314" t="inlineStr">
        <is>
          <t>A 45984-2022</t>
        </is>
      </c>
      <c r="B314" t="inlineStr">
        <is>
          <t>avverkningsanmälan</t>
        </is>
      </c>
      <c r="C314" t="inlineStr">
        <is>
          <t>Föryngringsavverkning</t>
        </is>
      </c>
      <c r="D314" s="1" t="n">
        <v>44846</v>
      </c>
      <c r="E314" s="1" t="n">
        <v>46217</v>
      </c>
      <c r="F314" t="inlineStr">
        <is>
          <t>SÖDERMANLANDS LÄN</t>
        </is>
      </c>
      <c r="G314" t="inlineStr">
        <is>
          <t>STRÄNGNÄS</t>
        </is>
      </c>
      <c r="I314" t="n">
        <v>5.4</v>
      </c>
      <c r="J314" t="n">
        <v>0</v>
      </c>
      <c r="K314" t="n">
        <v>0</v>
      </c>
      <c r="L314" t="n">
        <v>0</v>
      </c>
      <c r="M314" t="n">
        <v>0</v>
      </c>
      <c r="N314" t="n">
        <v>0</v>
      </c>
      <c r="O314" t="n">
        <v>0</v>
      </c>
      <c r="P314" t="n">
        <v>0</v>
      </c>
      <c r="Q314" t="n">
        <v>0</v>
      </c>
      <c r="R314" t="n">
        <v>0</v>
      </c>
      <c r="S314" t="n">
        <v>0</v>
      </c>
      <c r="T314" t="n">
        <v>0</v>
      </c>
      <c r="U314" s="2" t="inlineStr"/>
    </row>
    <row r="315" ht="15" customHeight="1">
      <c r="A315" t="inlineStr">
        <is>
          <t>A 4320-2023</t>
        </is>
      </c>
      <c r="B315" t="inlineStr">
        <is>
          <t>avverkningsanmälan</t>
        </is>
      </c>
      <c r="C315" t="inlineStr">
        <is>
          <t>Föryngringsavverkning</t>
        </is>
      </c>
      <c r="D315" s="1" t="n">
        <v>44953</v>
      </c>
      <c r="E315" s="1" t="n">
        <v>46217</v>
      </c>
      <c r="F315" t="inlineStr">
        <is>
          <t>SÖDERMANLANDS LÄN</t>
        </is>
      </c>
      <c r="G315" t="inlineStr">
        <is>
          <t>STRÄNGNÄS</t>
        </is>
      </c>
      <c r="H315" t="inlineStr">
        <is>
          <t>Allmännings- och besparingsskogar</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53897-2022</t>
        </is>
      </c>
      <c r="B316" t="inlineStr">
        <is>
          <t>avverkningsanmälan</t>
        </is>
      </c>
      <c r="C316" t="inlineStr">
        <is>
          <t>Föryngringsavverkning</t>
        </is>
      </c>
      <c r="D316" s="1" t="n">
        <v>44880</v>
      </c>
      <c r="E316" s="1" t="n">
        <v>46217</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s="2" t="inlineStr"/>
    </row>
    <row r="317" ht="15" customHeight="1">
      <c r="A317" t="inlineStr">
        <is>
          <t>A 28104-2025</t>
        </is>
      </c>
      <c r="B317" t="inlineStr">
        <is>
          <t>avverkningsanmälan</t>
        </is>
      </c>
      <c r="C317" t="inlineStr">
        <is>
          <t>Föryngringsavverkning</t>
        </is>
      </c>
      <c r="D317" s="1" t="n">
        <v>45817</v>
      </c>
      <c r="E317" s="1" t="n">
        <v>46217</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52904-2023</t>
        </is>
      </c>
      <c r="B318" t="inlineStr">
        <is>
          <t>avverkningsanmälan</t>
        </is>
      </c>
      <c r="C318" t="inlineStr">
        <is>
          <t>Föryngringsavverkning</t>
        </is>
      </c>
      <c r="D318" s="1" t="n">
        <v>45226</v>
      </c>
      <c r="E318" s="1" t="n">
        <v>46217</v>
      </c>
      <c r="F318" t="inlineStr">
        <is>
          <t>SÖDERMANLANDS LÄN</t>
        </is>
      </c>
      <c r="G318" t="inlineStr">
        <is>
          <t>STRÄNGNÄS</t>
        </is>
      </c>
      <c r="I318" t="n">
        <v>9.9</v>
      </c>
      <c r="J318" t="n">
        <v>0</v>
      </c>
      <c r="K318" t="n">
        <v>0</v>
      </c>
      <c r="L318" t="n">
        <v>0</v>
      </c>
      <c r="M318" t="n">
        <v>0</v>
      </c>
      <c r="N318" t="n">
        <v>0</v>
      </c>
      <c r="O318" t="n">
        <v>0</v>
      </c>
      <c r="P318" t="n">
        <v>0</v>
      </c>
      <c r="Q318" t="n">
        <v>0</v>
      </c>
      <c r="R318" t="n">
        <v>0</v>
      </c>
      <c r="S318" t="n">
        <v>0</v>
      </c>
      <c r="T318" t="n">
        <v>0</v>
      </c>
      <c r="U318" s="2" t="inlineStr"/>
    </row>
    <row r="319" ht="15" customHeight="1">
      <c r="A319" t="inlineStr">
        <is>
          <t>A 20754-2025</t>
        </is>
      </c>
      <c r="B319" t="inlineStr">
        <is>
          <t>avverkningsanmälan</t>
        </is>
      </c>
      <c r="C319" t="inlineStr">
        <is>
          <t>Föryngringsavverkning</t>
        </is>
      </c>
      <c r="D319" s="1" t="n">
        <v>45776</v>
      </c>
      <c r="E319" s="1" t="n">
        <v>46217</v>
      </c>
      <c r="F319" t="inlineStr">
        <is>
          <t>SÖDERMANLANDS LÄN</t>
        </is>
      </c>
      <c r="G319" t="inlineStr">
        <is>
          <t>STRÄNGNÄS</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36811-2022</t>
        </is>
      </c>
      <c r="B320" t="inlineStr">
        <is>
          <t>avverkningsanmälan</t>
        </is>
      </c>
      <c r="C320" t="inlineStr">
        <is>
          <t>Föryngringsavverkning</t>
        </is>
      </c>
      <c r="D320" s="1" t="n">
        <v>44805</v>
      </c>
      <c r="E320" s="1" t="n">
        <v>46217</v>
      </c>
      <c r="F320" t="inlineStr">
        <is>
          <t>SÖDERMANLANDS LÄN</t>
        </is>
      </c>
      <c r="G320" t="inlineStr">
        <is>
          <t>STRÄNGNÄS</t>
        </is>
      </c>
      <c r="I320" t="n">
        <v>11.6</v>
      </c>
      <c r="J320" t="n">
        <v>0</v>
      </c>
      <c r="K320" t="n">
        <v>0</v>
      </c>
      <c r="L320" t="n">
        <v>0</v>
      </c>
      <c r="M320" t="n">
        <v>0</v>
      </c>
      <c r="N320" t="n">
        <v>0</v>
      </c>
      <c r="O320" t="n">
        <v>0</v>
      </c>
      <c r="P320" t="n">
        <v>0</v>
      </c>
      <c r="Q320" t="n">
        <v>0</v>
      </c>
      <c r="R320" t="n">
        <v>0</v>
      </c>
      <c r="S320" t="n">
        <v>0</v>
      </c>
      <c r="T320" t="n">
        <v>0</v>
      </c>
      <c r="U320" s="2" t="inlineStr"/>
    </row>
    <row r="321" ht="15" customHeight="1">
      <c r="A321" t="inlineStr">
        <is>
          <t>A 12818-2023</t>
        </is>
      </c>
      <c r="B321" t="inlineStr">
        <is>
          <t>avverkningsanmälan</t>
        </is>
      </c>
      <c r="C321" t="inlineStr">
        <is>
          <t>Avverkning för annat ändamål</t>
        </is>
      </c>
      <c r="D321" s="1" t="n">
        <v>45001</v>
      </c>
      <c r="E321" s="1" t="n">
        <v>46217</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57231-2024</t>
        </is>
      </c>
      <c r="B322" t="inlineStr">
        <is>
          <t>avverkningsanmälan</t>
        </is>
      </c>
      <c r="C322" t="inlineStr">
        <is>
          <t>Föryngringsavverkning</t>
        </is>
      </c>
      <c r="D322" s="1" t="n">
        <v>45629</v>
      </c>
      <c r="E322" s="1" t="n">
        <v>46217</v>
      </c>
      <c r="F322" t="inlineStr">
        <is>
          <t>SÖDERMANLANDS LÄN</t>
        </is>
      </c>
      <c r="G322" t="inlineStr">
        <is>
          <t>STRÄNGNÄS</t>
        </is>
      </c>
      <c r="I322" t="n">
        <v>3.8</v>
      </c>
      <c r="J322" t="n">
        <v>0</v>
      </c>
      <c r="K322" t="n">
        <v>0</v>
      </c>
      <c r="L322" t="n">
        <v>0</v>
      </c>
      <c r="M322" t="n">
        <v>0</v>
      </c>
      <c r="N322" t="n">
        <v>0</v>
      </c>
      <c r="O322" t="n">
        <v>0</v>
      </c>
      <c r="P322" t="n">
        <v>0</v>
      </c>
      <c r="Q322" t="n">
        <v>0</v>
      </c>
      <c r="R322" t="n">
        <v>0</v>
      </c>
      <c r="S322" t="n">
        <v>0</v>
      </c>
      <c r="T322" t="n">
        <v>0</v>
      </c>
      <c r="U322" s="2" t="inlineStr"/>
    </row>
    <row r="323" ht="15" customHeight="1">
      <c r="A323" t="inlineStr">
        <is>
          <t>A 24823-2025</t>
        </is>
      </c>
      <c r="B323" t="inlineStr">
        <is>
          <t>avverkningsanmälan</t>
        </is>
      </c>
      <c r="C323" t="inlineStr">
        <is>
          <t>Föryngringsavverkning</t>
        </is>
      </c>
      <c r="D323" s="1" t="n">
        <v>45799</v>
      </c>
      <c r="E323" s="1" t="n">
        <v>46217</v>
      </c>
      <c r="F323" t="inlineStr">
        <is>
          <t>SÖDERMANLANDS LÄN</t>
        </is>
      </c>
      <c r="G323" t="inlineStr">
        <is>
          <t>STRÄNGNÄS</t>
        </is>
      </c>
      <c r="I323" t="n">
        <v>7</v>
      </c>
      <c r="J323" t="n">
        <v>0</v>
      </c>
      <c r="K323" t="n">
        <v>0</v>
      </c>
      <c r="L323" t="n">
        <v>0</v>
      </c>
      <c r="M323" t="n">
        <v>0</v>
      </c>
      <c r="N323" t="n">
        <v>0</v>
      </c>
      <c r="O323" t="n">
        <v>0</v>
      </c>
      <c r="P323" t="n">
        <v>0</v>
      </c>
      <c r="Q323" t="n">
        <v>0</v>
      </c>
      <c r="R323" t="n">
        <v>0</v>
      </c>
      <c r="S323" t="n">
        <v>0</v>
      </c>
      <c r="T323" t="n">
        <v>0</v>
      </c>
      <c r="U323" s="2" t="inlineStr"/>
    </row>
    <row r="324" ht="15" customHeight="1">
      <c r="A324" t="inlineStr">
        <is>
          <t>A 15087-2025</t>
        </is>
      </c>
      <c r="B324" t="inlineStr">
        <is>
          <t>avverkningsanmälan</t>
        </is>
      </c>
      <c r="C324" t="inlineStr">
        <is>
          <t>Föryngringsavverkning</t>
        </is>
      </c>
      <c r="D324" s="1" t="n">
        <v>45743</v>
      </c>
      <c r="E324" s="1" t="n">
        <v>46217</v>
      </c>
      <c r="F324" t="inlineStr">
        <is>
          <t>SÖDERMANLANDS LÄN</t>
        </is>
      </c>
      <c r="G324" t="inlineStr">
        <is>
          <t>STRÄNGNÄS</t>
        </is>
      </c>
      <c r="I324" t="n">
        <v>4.9</v>
      </c>
      <c r="J324" t="n">
        <v>0</v>
      </c>
      <c r="K324" t="n">
        <v>0</v>
      </c>
      <c r="L324" t="n">
        <v>0</v>
      </c>
      <c r="M324" t="n">
        <v>0</v>
      </c>
      <c r="N324" t="n">
        <v>0</v>
      </c>
      <c r="O324" t="n">
        <v>0</v>
      </c>
      <c r="P324" t="n">
        <v>0</v>
      </c>
      <c r="Q324" t="n">
        <v>0</v>
      </c>
      <c r="R324" t="n">
        <v>0</v>
      </c>
      <c r="S324" t="n">
        <v>0</v>
      </c>
      <c r="T324" t="n">
        <v>0</v>
      </c>
      <c r="U324" s="2" t="inlineStr"/>
    </row>
    <row r="325" ht="15" customHeight="1">
      <c r="A325" t="inlineStr">
        <is>
          <t>A 30622-2025</t>
        </is>
      </c>
      <c r="B325" t="inlineStr">
        <is>
          <t>avverkningsanmälan</t>
        </is>
      </c>
      <c r="C325" t="inlineStr">
        <is>
          <t>Föryngringsavverkning</t>
        </is>
      </c>
      <c r="D325" s="1" t="n">
        <v>45831</v>
      </c>
      <c r="E325" s="1" t="n">
        <v>46217</v>
      </c>
      <c r="F325" t="inlineStr">
        <is>
          <t>SÖDERMANLANDS LÄN</t>
        </is>
      </c>
      <c r="G325" t="inlineStr">
        <is>
          <t>STRÄNGNÄS</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32627-2025</t>
        </is>
      </c>
      <c r="B326" t="inlineStr">
        <is>
          <t>avverkningsanmälan</t>
        </is>
      </c>
      <c r="C326" t="inlineStr">
        <is>
          <t>Föryngringsavverkning</t>
        </is>
      </c>
      <c r="D326" s="1" t="n">
        <v>45838</v>
      </c>
      <c r="E326" s="1" t="n">
        <v>46217</v>
      </c>
      <c r="F326" t="inlineStr">
        <is>
          <t>SÖDERMANLANDS LÄN</t>
        </is>
      </c>
      <c r="G326" t="inlineStr">
        <is>
          <t>STRÄNGNÄS</t>
        </is>
      </c>
      <c r="I326" t="n">
        <v>3</v>
      </c>
      <c r="J326" t="n">
        <v>0</v>
      </c>
      <c r="K326" t="n">
        <v>0</v>
      </c>
      <c r="L326" t="n">
        <v>0</v>
      </c>
      <c r="M326" t="n">
        <v>0</v>
      </c>
      <c r="N326" t="n">
        <v>0</v>
      </c>
      <c r="O326" t="n">
        <v>0</v>
      </c>
      <c r="P326" t="n">
        <v>0</v>
      </c>
      <c r="Q326" t="n">
        <v>0</v>
      </c>
      <c r="R326" t="n">
        <v>0</v>
      </c>
      <c r="S326" t="n">
        <v>0</v>
      </c>
      <c r="T326" t="n">
        <v>0</v>
      </c>
      <c r="U326" s="2" t="inlineStr"/>
    </row>
    <row r="327" ht="15" customHeight="1">
      <c r="A327" t="inlineStr">
        <is>
          <t>A 24980-2025</t>
        </is>
      </c>
      <c r="B327" t="inlineStr">
        <is>
          <t>avverkningsanmälan</t>
        </is>
      </c>
      <c r="C327" t="inlineStr">
        <is>
          <t>Avverkning för annat ändamål</t>
        </is>
      </c>
      <c r="D327" s="1" t="n">
        <v>45799</v>
      </c>
      <c r="E327" s="1" t="n">
        <v>46217</v>
      </c>
      <c r="F327" t="inlineStr">
        <is>
          <t>SÖDERMANLANDS LÄN</t>
        </is>
      </c>
      <c r="G327" t="inlineStr">
        <is>
          <t>STRÄNGNÄS</t>
        </is>
      </c>
      <c r="H327" t="inlineStr">
        <is>
          <t>Övriga Aktiebolag</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3773-2025</t>
        </is>
      </c>
      <c r="B328" t="inlineStr">
        <is>
          <t>avverkningsanmälan</t>
        </is>
      </c>
      <c r="C328" t="inlineStr">
        <is>
          <t>Föryngringsavverkning</t>
        </is>
      </c>
      <c r="D328" s="1" t="n">
        <v>45681</v>
      </c>
      <c r="E328" s="1" t="n">
        <v>46217</v>
      </c>
      <c r="F328" t="inlineStr">
        <is>
          <t>SÖDERMANLANDS LÄN</t>
        </is>
      </c>
      <c r="G328" t="inlineStr">
        <is>
          <t>STRÄNGNÄS</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35370-2025</t>
        </is>
      </c>
      <c r="B329" t="inlineStr">
        <is>
          <t>avverkningsanmälan</t>
        </is>
      </c>
      <c r="C329" t="inlineStr">
        <is>
          <t>Föryngringsavverkning</t>
        </is>
      </c>
      <c r="D329" s="1" t="n">
        <v>45854</v>
      </c>
      <c r="E329" s="1" t="n">
        <v>46217</v>
      </c>
      <c r="F329" t="inlineStr">
        <is>
          <t>SÖDERMANLANDS LÄN</t>
        </is>
      </c>
      <c r="G329" t="inlineStr">
        <is>
          <t>STRÄNGNÄS</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30477-2024</t>
        </is>
      </c>
      <c r="B330" t="inlineStr">
        <is>
          <t>avverkningsanmälan</t>
        </is>
      </c>
      <c r="C330" t="inlineStr">
        <is>
          <t>Avverkning för annat ändamål</t>
        </is>
      </c>
      <c r="D330" s="1" t="n">
        <v>45491</v>
      </c>
      <c r="E330" s="1" t="n">
        <v>46217</v>
      </c>
      <c r="F330" t="inlineStr">
        <is>
          <t>SÖDERMANLANDS LÄN</t>
        </is>
      </c>
      <c r="G330" t="inlineStr">
        <is>
          <t>STRÄNGNÄS</t>
        </is>
      </c>
      <c r="I330" t="n">
        <v>2.2</v>
      </c>
      <c r="J330" t="n">
        <v>0</v>
      </c>
      <c r="K330" t="n">
        <v>0</v>
      </c>
      <c r="L330" t="n">
        <v>0</v>
      </c>
      <c r="M330" t="n">
        <v>0</v>
      </c>
      <c r="N330" t="n">
        <v>0</v>
      </c>
      <c r="O330" t="n">
        <v>0</v>
      </c>
      <c r="P330" t="n">
        <v>0</v>
      </c>
      <c r="Q330" t="n">
        <v>0</v>
      </c>
      <c r="R330" t="n">
        <v>0</v>
      </c>
      <c r="S330" t="n">
        <v>0</v>
      </c>
      <c r="T330" t="n">
        <v>0</v>
      </c>
      <c r="U330" s="2" t="inlineStr"/>
    </row>
    <row r="331" ht="15" customHeight="1">
      <c r="A331" t="inlineStr">
        <is>
          <t>S 3845-2023</t>
        </is>
      </c>
      <c r="B331" t="inlineStr">
        <is>
          <t>samrådsanmälan</t>
        </is>
      </c>
      <c r="C331" t="inlineStr">
        <is>
          <t>Annan skogsbruksåtgärd</t>
        </is>
      </c>
      <c r="D331" s="1" t="n">
        <v>45235</v>
      </c>
      <c r="E331" s="1" t="n">
        <v>46217</v>
      </c>
      <c r="F331" t="inlineStr">
        <is>
          <t>SÖDERMANLANDS LÄN</t>
        </is>
      </c>
      <c r="G331" t="inlineStr">
        <is>
          <t>STRÄNGNÄS</t>
        </is>
      </c>
      <c r="I331" t="n">
        <v>2.5</v>
      </c>
      <c r="J331" t="n">
        <v>0</v>
      </c>
      <c r="K331" t="n">
        <v>0</v>
      </c>
      <c r="L331" t="n">
        <v>0</v>
      </c>
      <c r="M331" t="n">
        <v>0</v>
      </c>
      <c r="N331" t="n">
        <v>0</v>
      </c>
      <c r="O331" t="n">
        <v>0</v>
      </c>
      <c r="P331" t="n">
        <v>0</v>
      </c>
      <c r="Q331" t="n">
        <v>0</v>
      </c>
      <c r="R331" t="n">
        <v>0</v>
      </c>
      <c r="S331" t="n">
        <v>0</v>
      </c>
      <c r="T331" t="n">
        <v>0</v>
      </c>
      <c r="U331" s="2" t="inlineStr"/>
    </row>
    <row r="332" ht="15" customHeight="1">
      <c r="A332" t="inlineStr">
        <is>
          <t>S 6304-2021</t>
        </is>
      </c>
      <c r="B332" t="inlineStr">
        <is>
          <t>samrådsanmälan</t>
        </is>
      </c>
      <c r="C332" t="inlineStr">
        <is>
          <t>Åtgärd i nyckelbiotop</t>
        </is>
      </c>
      <c r="D332" s="1" t="n">
        <v>44448</v>
      </c>
      <c r="E332" s="1" t="n">
        <v>46217</v>
      </c>
      <c r="F332" t="inlineStr">
        <is>
          <t>SÖDERMANLANDS LÄN</t>
        </is>
      </c>
      <c r="G332" t="inlineStr">
        <is>
          <t>STRÄNGNÄS</t>
        </is>
      </c>
      <c r="I332" t="n">
        <v>5.6</v>
      </c>
      <c r="J332" t="n">
        <v>0</v>
      </c>
      <c r="K332" t="n">
        <v>0</v>
      </c>
      <c r="L332" t="n">
        <v>0</v>
      </c>
      <c r="M332" t="n">
        <v>0</v>
      </c>
      <c r="N332" t="n">
        <v>0</v>
      </c>
      <c r="O332" t="n">
        <v>0</v>
      </c>
      <c r="P332" t="n">
        <v>0</v>
      </c>
      <c r="Q332" t="n">
        <v>0</v>
      </c>
      <c r="R332" t="n">
        <v>0</v>
      </c>
      <c r="S332" t="n">
        <v>0</v>
      </c>
      <c r="T332" t="n">
        <v>0</v>
      </c>
      <c r="U332" s="2" t="inlineStr"/>
    </row>
    <row r="333" ht="15" customHeight="1">
      <c r="A333" t="inlineStr">
        <is>
          <t>S 3717-2023</t>
        </is>
      </c>
      <c r="B333" t="inlineStr">
        <is>
          <t>samrådsanmälan</t>
        </is>
      </c>
      <c r="C333" t="inlineStr">
        <is>
          <t>Annan skogsbruksåtgärd</t>
        </is>
      </c>
      <c r="D333" s="1" t="n">
        <v>45226</v>
      </c>
      <c r="E333" s="1" t="n">
        <v>46217</v>
      </c>
      <c r="F333" t="inlineStr">
        <is>
          <t>SÖDERMANLANDS LÄN</t>
        </is>
      </c>
      <c r="G333" t="inlineStr">
        <is>
          <t>STRÄNGNÄS</t>
        </is>
      </c>
      <c r="I333" t="n">
        <v>3.3</v>
      </c>
      <c r="J333" t="n">
        <v>0</v>
      </c>
      <c r="K333" t="n">
        <v>0</v>
      </c>
      <c r="L333" t="n">
        <v>0</v>
      </c>
      <c r="M333" t="n">
        <v>0</v>
      </c>
      <c r="N333" t="n">
        <v>0</v>
      </c>
      <c r="O333" t="n">
        <v>0</v>
      </c>
      <c r="P333" t="n">
        <v>0</v>
      </c>
      <c r="Q333" t="n">
        <v>0</v>
      </c>
      <c r="R333" t="n">
        <v>0</v>
      </c>
      <c r="S333" t="n">
        <v>0</v>
      </c>
      <c r="T333" t="n">
        <v>0</v>
      </c>
      <c r="U333" s="2" t="inlineStr"/>
    </row>
    <row r="334" ht="15" customHeight="1">
      <c r="A334" t="inlineStr">
        <is>
          <t>S 3431-2025</t>
        </is>
      </c>
      <c r="B334" t="inlineStr">
        <is>
          <t>samrådsanmälan</t>
        </is>
      </c>
      <c r="C334" t="inlineStr">
        <is>
          <t>Annan skogsbruksåtgärd</t>
        </is>
      </c>
      <c r="D334" s="1" t="n">
        <v>45995</v>
      </c>
      <c r="E334" s="1" t="n">
        <v>46217</v>
      </c>
      <c r="F334" t="inlineStr">
        <is>
          <t>SÖDERMANLANDS LÄN</t>
        </is>
      </c>
      <c r="G334" t="inlineStr">
        <is>
          <t>STRÄNGNÄS</t>
        </is>
      </c>
      <c r="I334" t="n">
        <v>0.8</v>
      </c>
      <c r="J334" t="n">
        <v>0</v>
      </c>
      <c r="K334" t="n">
        <v>0</v>
      </c>
      <c r="L334" t="n">
        <v>0</v>
      </c>
      <c r="M334" t="n">
        <v>0</v>
      </c>
      <c r="N334" t="n">
        <v>0</v>
      </c>
      <c r="O334" t="n">
        <v>0</v>
      </c>
      <c r="P334" t="n">
        <v>0</v>
      </c>
      <c r="Q334" t="n">
        <v>0</v>
      </c>
      <c r="R334" t="n">
        <v>0</v>
      </c>
      <c r="S334" t="n">
        <v>0</v>
      </c>
      <c r="T334" t="n">
        <v>0</v>
      </c>
      <c r="U334" s="2" t="inlineStr"/>
    </row>
    <row r="335">
      <c r="A335" t="inlineStr">
        <is>
          <t>S 41-2026</t>
        </is>
      </c>
      <c r="B335" t="inlineStr">
        <is>
          <t>samrådsanmälan</t>
        </is>
      </c>
      <c r="C335" t="inlineStr">
        <is>
          <t>Annan skogsbruksåtgärd</t>
        </is>
      </c>
      <c r="D335" s="1" t="n">
        <v>46027</v>
      </c>
      <c r="E335" s="1" t="n">
        <v>46217</v>
      </c>
      <c r="F335" t="inlineStr">
        <is>
          <t>SÖDERMANLANDS LÄN</t>
        </is>
      </c>
      <c r="G335" t="inlineStr">
        <is>
          <t>STRÄNGNÄS</t>
        </is>
      </c>
      <c r="I335" t="n">
        <v>4.8</v>
      </c>
      <c r="J335" t="n">
        <v>0</v>
      </c>
      <c r="K335" t="n">
        <v>0</v>
      </c>
      <c r="L335" t="n">
        <v>0</v>
      </c>
      <c r="M335" t="n">
        <v>0</v>
      </c>
      <c r="N335" t="n">
        <v>0</v>
      </c>
      <c r="O335" t="n">
        <v>0</v>
      </c>
      <c r="P335" t="n">
        <v>0</v>
      </c>
      <c r="Q335" t="n">
        <v>0</v>
      </c>
      <c r="R335" t="n">
        <v>0</v>
      </c>
      <c r="S335" t="n">
        <v>0</v>
      </c>
      <c r="T335" t="n">
        <v>0</v>
      </c>
      <c r="U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2026-07-14T09:01:02Z</dcterms:created>
  <dcterms:modified xmlns:dcterms="http://purl.org/dc/terms/" xmlns:xsi="http://www.w3.org/2001/XMLSchema-instance" xsi:type="dcterms:W3CDTF">2026-07-14T09:01:03Z</dcterms:modified>
</cp:coreProperties>
</file>