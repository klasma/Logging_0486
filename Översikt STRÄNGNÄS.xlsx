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46190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46190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46190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46190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46190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46190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46190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46190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46190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46190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Fiskmås
Svartvit flugsnappare
Kungsfågel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46190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46190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10841-2026</t>
        </is>
      </c>
      <c r="B14" s="1" t="n">
        <v>46078.64104166667</v>
      </c>
      <c r="C14" s="1" t="n">
        <v>46190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11.5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Grönvit nattviol
Nattviol</t>
        </is>
      </c>
      <c r="S14">
        <f>HYPERLINK("https://klasma.github.io/Logging_0486/artfynd/A 10841-2026 artfynd.xlsx", "A 10841-2026")</f>
        <v/>
      </c>
      <c r="T14">
        <f>HYPERLINK("https://klasma.github.io/Logging_0486/kartor/A 10841-2026 karta.png", "A 10841-2026")</f>
        <v/>
      </c>
      <c r="V14">
        <f>HYPERLINK("https://klasma.github.io/Logging_0486/klagomål/A 10841-2026 FSC-klagomål.docx", "A 10841-2026")</f>
        <v/>
      </c>
      <c r="W14">
        <f>HYPERLINK("https://klasma.github.io/Logging_0486/klagomålsmail/A 10841-2026 FSC-klagomål mail.docx", "A 10841-2026")</f>
        <v/>
      </c>
      <c r="X14">
        <f>HYPERLINK("https://klasma.github.io/Logging_0486/tillsyn/A 10841-2026 tillsynsbegäran.docx", "A 10841-2026")</f>
        <v/>
      </c>
      <c r="Y14">
        <f>HYPERLINK("https://klasma.github.io/Logging_0486/tillsynsmail/A 10841-2026 tillsynsbegäran mail.docx", "A 10841-2026")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46190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46190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46190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46190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4047-2025</t>
        </is>
      </c>
      <c r="B19" s="1" t="n">
        <v>45684</v>
      </c>
      <c r="C19" s="1" t="n">
        <v>46190</v>
      </c>
      <c r="D19" t="inlineStr">
        <is>
          <t>SÖDERMANLANDS LÄN</t>
        </is>
      </c>
      <c r="E19" t="inlineStr">
        <is>
          <t>STRÄNGNÄS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HYPERLINK("https://klasma.github.io/Logging_0486/artfynd/A 4047-2025 artfynd.xlsx", "A 4047-2025")</f>
        <v/>
      </c>
      <c r="T19">
        <f>HYPERLINK("https://klasma.github.io/Logging_0486/kartor/A 4047-2025 karta.png", "A 4047-2025")</f>
        <v/>
      </c>
      <c r="V19">
        <f>HYPERLINK("https://klasma.github.io/Logging_0486/klagomål/A 4047-2025 FSC-klagomål.docx", "A 4047-2025")</f>
        <v/>
      </c>
      <c r="W19">
        <f>HYPERLINK("https://klasma.github.io/Logging_0486/klagomålsmail/A 4047-2025 FSC-klagomål mail.docx", "A 4047-2025")</f>
        <v/>
      </c>
      <c r="X19">
        <f>HYPERLINK("https://klasma.github.io/Logging_0486/tillsyn/A 4047-2025 tillsynsbegäran.docx", "A 4047-2025")</f>
        <v/>
      </c>
      <c r="Y19">
        <f>HYPERLINK("https://klasma.github.io/Logging_0486/tillsynsmail/A 4047-2025 tillsynsbegäran mail.docx", "A 4047-2025")</f>
        <v/>
      </c>
    </row>
    <row r="20" ht="15" customHeight="1">
      <c r="A20" t="inlineStr">
        <is>
          <t>A 48926-2021</t>
        </is>
      </c>
      <c r="B20" s="1" t="n">
        <v>44453</v>
      </c>
      <c r="C20" s="1" t="n">
        <v>46190</v>
      </c>
      <c r="D20" t="inlineStr">
        <is>
          <t>SÖDERMANLANDS LÄN</t>
        </is>
      </c>
      <c r="E20" t="inlineStr">
        <is>
          <t>STRÄNGNÄS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48926-2021 artfynd.xlsx", "A 48926-2021")</f>
        <v/>
      </c>
      <c r="T20">
        <f>HYPERLINK("https://klasma.github.io/Logging_0486/kartor/A 48926-2021 karta.png", "A 48926-2021")</f>
        <v/>
      </c>
      <c r="V20">
        <f>HYPERLINK("https://klasma.github.io/Logging_0486/klagomål/A 48926-2021 FSC-klagomål.docx", "A 48926-2021")</f>
        <v/>
      </c>
      <c r="W20">
        <f>HYPERLINK("https://klasma.github.io/Logging_0486/klagomålsmail/A 48926-2021 FSC-klagomål mail.docx", "A 48926-2021")</f>
        <v/>
      </c>
      <c r="X20">
        <f>HYPERLINK("https://klasma.github.io/Logging_0486/tillsyn/A 48926-2021 tillsynsbegäran.docx", "A 48926-2021")</f>
        <v/>
      </c>
      <c r="Y20">
        <f>HYPERLINK("https://klasma.github.io/Logging_0486/tillsynsmail/A 48926-2021 tillsynsbegäran mail.docx", "A 48926-2021")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46190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46190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46190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46190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50010-2023</t>
        </is>
      </c>
      <c r="B25" s="1" t="n">
        <v>45215</v>
      </c>
      <c r="C25" s="1" t="n">
        <v>46190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HYPERLINK("https://klasma.github.io/Logging_0486/artfynd/A 50010-2023 artfynd.xlsx", "A 50010-2023")</f>
        <v/>
      </c>
      <c r="T25">
        <f>HYPERLINK("https://klasma.github.io/Logging_0486/kartor/A 50010-2023 karta.png", "A 50010-2023")</f>
        <v/>
      </c>
      <c r="V25">
        <f>HYPERLINK("https://klasma.github.io/Logging_0486/klagomål/A 50010-2023 FSC-klagomål.docx", "A 50010-2023")</f>
        <v/>
      </c>
      <c r="W25">
        <f>HYPERLINK("https://klasma.github.io/Logging_0486/klagomålsmail/A 50010-2023 FSC-klagomål mail.docx", "A 50010-2023")</f>
        <v/>
      </c>
      <c r="X25">
        <f>HYPERLINK("https://klasma.github.io/Logging_0486/tillsyn/A 50010-2023 tillsynsbegäran.docx", "A 50010-2023")</f>
        <v/>
      </c>
      <c r="Y25">
        <f>HYPERLINK("https://klasma.github.io/Logging_0486/tillsynsmail/A 50010-2023 tillsynsbegäran mail.docx", "A 50010-2023")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46190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35360-2024</t>
        </is>
      </c>
      <c r="B27" s="1" t="n">
        <v>45531</v>
      </c>
      <c r="C27" s="1" t="n">
        <v>46190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statliga verk och myndigheter</t>
        </is>
      </c>
      <c r="G27" t="n">
        <v>7.6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35360-2024 artfynd.xlsx", "A 35360-2024")</f>
        <v/>
      </c>
      <c r="T27">
        <f>HYPERLINK("https://klasma.github.io/Logging_0486/kartor/A 35360-2024 karta.png", "A 35360-2024")</f>
        <v/>
      </c>
      <c r="V27">
        <f>HYPERLINK("https://klasma.github.io/Logging_0486/klagomål/A 35360-2024 FSC-klagomål.docx", "A 35360-2024")</f>
        <v/>
      </c>
      <c r="W27">
        <f>HYPERLINK("https://klasma.github.io/Logging_0486/klagomålsmail/A 35360-2024 FSC-klagomål mail.docx", "A 35360-2024")</f>
        <v/>
      </c>
      <c r="X27">
        <f>HYPERLINK("https://klasma.github.io/Logging_0486/tillsyn/A 35360-2024 tillsynsbegäran.docx", "A 35360-2024")</f>
        <v/>
      </c>
      <c r="Y27">
        <f>HYPERLINK("https://klasma.github.io/Logging_0486/tillsynsmail/A 35360-2024 tillsynsbegäran mail.docx", "A 35360-2024")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46190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46190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36853-2022</t>
        </is>
      </c>
      <c r="B30" s="1" t="n">
        <v>44805</v>
      </c>
      <c r="C30" s="1" t="n">
        <v>46190</v>
      </c>
      <c r="D30" t="inlineStr">
        <is>
          <t>SÖDERMANLANDS LÄN</t>
        </is>
      </c>
      <c r="E30" t="inlineStr">
        <is>
          <t>STRÄNGNÄS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53488-2022</t>
        </is>
      </c>
      <c r="B31" s="1" t="n">
        <v>44874</v>
      </c>
      <c r="C31" s="1" t="n">
        <v>46190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14024-2022</t>
        </is>
      </c>
      <c r="B32" s="1" t="n">
        <v>44650</v>
      </c>
      <c r="C32" s="1" t="n">
        <v>46190</v>
      </c>
      <c r="D32" t="inlineStr">
        <is>
          <t>SÖDERMANLANDS LÄN</t>
        </is>
      </c>
      <c r="E32" t="inlineStr">
        <is>
          <t>STRÄNGNÄS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2574-2022</t>
        </is>
      </c>
      <c r="B33" s="1" t="n">
        <v>44579</v>
      </c>
      <c r="C33" s="1" t="n">
        <v>46190</v>
      </c>
      <c r="D33" t="inlineStr">
        <is>
          <t>SÖDERMANLANDS LÄN</t>
        </is>
      </c>
      <c r="E33" t="inlineStr">
        <is>
          <t>STRÄNGNÄS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40814-2021</t>
        </is>
      </c>
      <c r="B34" s="1" t="n">
        <v>44421</v>
      </c>
      <c r="C34" s="1" t="n">
        <v>46190</v>
      </c>
      <c r="D34" t="inlineStr">
        <is>
          <t>SÖDERMANLANDS LÄN</t>
        </is>
      </c>
      <c r="E34" t="inlineStr">
        <is>
          <t>STRÄNGNÄS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10413-2022</t>
        </is>
      </c>
      <c r="B35" s="1" t="n">
        <v>44623</v>
      </c>
      <c r="C35" s="1" t="n">
        <v>46190</v>
      </c>
      <c r="D35" t="inlineStr">
        <is>
          <t>SÖDERMANLANDS LÄN</t>
        </is>
      </c>
      <c r="E35" t="inlineStr">
        <is>
          <t>STRÄNGNÄS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12277-2022</t>
        </is>
      </c>
      <c r="B36" s="1" t="n">
        <v>44637</v>
      </c>
      <c r="C36" s="1" t="n">
        <v>46190</v>
      </c>
      <c r="D36" t="inlineStr">
        <is>
          <t>SÖDERMANLANDS LÄN</t>
        </is>
      </c>
      <c r="E36" t="inlineStr">
        <is>
          <t>STRÄNGNÄS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15814-2022</t>
        </is>
      </c>
      <c r="B37" s="1" t="n">
        <v>44664</v>
      </c>
      <c r="C37" s="1" t="n">
        <v>46190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47251-2021</t>
        </is>
      </c>
      <c r="B38" s="1" t="n">
        <v>44439</v>
      </c>
      <c r="C38" s="1" t="n">
        <v>46190</v>
      </c>
      <c r="D38" t="inlineStr">
        <is>
          <t>SÖDERMANLANDS LÄN</t>
        </is>
      </c>
      <c r="E38" t="inlineStr">
        <is>
          <t>STRÄNGNÄS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47453-2022</t>
        </is>
      </c>
      <c r="B39" s="1" t="n">
        <v>44852</v>
      </c>
      <c r="C39" s="1" t="n">
        <v>46190</v>
      </c>
      <c r="D39" t="inlineStr">
        <is>
          <t>SÖDERMANLANDS LÄN</t>
        </is>
      </c>
      <c r="E39" t="inlineStr">
        <is>
          <t>STRÄNGNÄS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60331-2021</t>
        </is>
      </c>
      <c r="B40" s="1" t="n">
        <v>44495</v>
      </c>
      <c r="C40" s="1" t="n">
        <v>46190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Allmännings- och besparingsskogar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44495-2022</t>
        </is>
      </c>
      <c r="B41" s="1" t="n">
        <v>44840</v>
      </c>
      <c r="C41" s="1" t="n">
        <v>46190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39175-2021</t>
        </is>
      </c>
      <c r="B42" s="1" t="n">
        <v>44412</v>
      </c>
      <c r="C42" s="1" t="n">
        <v>46190</v>
      </c>
      <c r="D42" t="inlineStr">
        <is>
          <t>SÖDERMANLANDS LÄN</t>
        </is>
      </c>
      <c r="E42" t="inlineStr">
        <is>
          <t>STRÄNGNÄS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38339-2021</t>
        </is>
      </c>
      <c r="B43" s="1" t="n">
        <v>44406</v>
      </c>
      <c r="C43" s="1" t="n">
        <v>46190</v>
      </c>
      <c r="D43" t="inlineStr">
        <is>
          <t>SÖDERMANLANDS LÄN</t>
        </is>
      </c>
      <c r="E43" t="inlineStr">
        <is>
          <t>STRÄNGNÄS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49992-2021</t>
        </is>
      </c>
      <c r="B44" s="1" t="n">
        <v>44456</v>
      </c>
      <c r="C44" s="1" t="n">
        <v>46190</v>
      </c>
      <c r="D44" t="inlineStr">
        <is>
          <t>SÖDERMANLANDS LÄN</t>
        </is>
      </c>
      <c r="E44" t="inlineStr">
        <is>
          <t>STRÄNGNÄS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45129-2021</t>
        </is>
      </c>
      <c r="B45" s="1" t="n">
        <v>44439</v>
      </c>
      <c r="C45" s="1" t="n">
        <v>46190</v>
      </c>
      <c r="D45" t="inlineStr">
        <is>
          <t>SÖDERMANLANDS LÄN</t>
        </is>
      </c>
      <c r="E45" t="inlineStr">
        <is>
          <t>STRÄNGNÄS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45131-2021</t>
        </is>
      </c>
      <c r="B46" s="1" t="n">
        <v>44439.44982638889</v>
      </c>
      <c r="C46" s="1" t="n">
        <v>46190</v>
      </c>
      <c r="D46" t="inlineStr">
        <is>
          <t>SÖDERMANLANDS LÄN</t>
        </is>
      </c>
      <c r="E46" t="inlineStr">
        <is>
          <t>STRÄNGNÄS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55663-2021</t>
        </is>
      </c>
      <c r="B47" s="1" t="n">
        <v>44475</v>
      </c>
      <c r="C47" s="1" t="n">
        <v>46190</v>
      </c>
      <c r="D47" t="inlineStr">
        <is>
          <t>SÖDERMANLANDS LÄN</t>
        </is>
      </c>
      <c r="E47" t="inlineStr">
        <is>
          <t>STRÄNGNÄS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7923-2022</t>
        </is>
      </c>
      <c r="B48" s="1" t="n">
        <v>44608</v>
      </c>
      <c r="C48" s="1" t="n">
        <v>46190</v>
      </c>
      <c r="D48" t="inlineStr">
        <is>
          <t>SÖDERMANLANDS LÄN</t>
        </is>
      </c>
      <c r="E48" t="inlineStr">
        <is>
          <t>STRÄNGNÄS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73092-2021</t>
        </is>
      </c>
      <c r="B49" s="1" t="n">
        <v>44550.44184027778</v>
      </c>
      <c r="C49" s="1" t="n">
        <v>46190</v>
      </c>
      <c r="D49" t="inlineStr">
        <is>
          <t>SÖDERMANLANDS LÄN</t>
        </is>
      </c>
      <c r="E49" t="inlineStr">
        <is>
          <t>STRÄNGNÄS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12688-2022</t>
        </is>
      </c>
      <c r="B50" s="1" t="n">
        <v>44641.58368055556</v>
      </c>
      <c r="C50" s="1" t="n">
        <v>46190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12685-2022</t>
        </is>
      </c>
      <c r="B51" s="1" t="n">
        <v>44641</v>
      </c>
      <c r="C51" s="1" t="n">
        <v>46190</v>
      </c>
      <c r="D51" t="inlineStr">
        <is>
          <t>SÖDERMANLANDS LÄN</t>
        </is>
      </c>
      <c r="E51" t="inlineStr">
        <is>
          <t>STRÄNGNÄS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10391-2022</t>
        </is>
      </c>
      <c r="B52" s="1" t="n">
        <v>44623</v>
      </c>
      <c r="C52" s="1" t="n">
        <v>46190</v>
      </c>
      <c r="D52" t="inlineStr">
        <is>
          <t>SÖDERMANLANDS LÄN</t>
        </is>
      </c>
      <c r="E52" t="inlineStr">
        <is>
          <t>STRÄNGNÄS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33307-2021</t>
        </is>
      </c>
      <c r="B53" s="1" t="n">
        <v>44377</v>
      </c>
      <c r="C53" s="1" t="n">
        <v>46190</v>
      </c>
      <c r="D53" t="inlineStr">
        <is>
          <t>SÖDERMANLANDS LÄN</t>
        </is>
      </c>
      <c r="E53" t="inlineStr">
        <is>
          <t>STRÄNGNÄS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62617-2021</t>
        </is>
      </c>
      <c r="B54" s="1" t="n">
        <v>44503</v>
      </c>
      <c r="C54" s="1" t="n">
        <v>46190</v>
      </c>
      <c r="D54" t="inlineStr">
        <is>
          <t>SÖDERMANLANDS LÄN</t>
        </is>
      </c>
      <c r="E54" t="inlineStr">
        <is>
          <t>STRÄNGNÄS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21794-2022</t>
        </is>
      </c>
      <c r="B55" s="1" t="n">
        <v>44708</v>
      </c>
      <c r="C55" s="1" t="n">
        <v>46190</v>
      </c>
      <c r="D55" t="inlineStr">
        <is>
          <t>SÖDERMANLANDS LÄN</t>
        </is>
      </c>
      <c r="E55" t="inlineStr">
        <is>
          <t>STRÄNGNÄS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69178-2021</t>
        </is>
      </c>
      <c r="B56" s="1" t="n">
        <v>44531</v>
      </c>
      <c r="C56" s="1" t="n">
        <v>46190</v>
      </c>
      <c r="D56" t="inlineStr">
        <is>
          <t>SÖDERMANLANDS LÄN</t>
        </is>
      </c>
      <c r="E56" t="inlineStr">
        <is>
          <t>STRÄNGNÄS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30677-2022</t>
        </is>
      </c>
      <c r="B57" s="1" t="n">
        <v>44763</v>
      </c>
      <c r="C57" s="1" t="n">
        <v>46190</v>
      </c>
      <c r="D57" t="inlineStr">
        <is>
          <t>SÖDERMANLANDS LÄN</t>
        </is>
      </c>
      <c r="E57" t="inlineStr">
        <is>
          <t>STRÄNGNÄS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43523-2021</t>
        </is>
      </c>
      <c r="B58" s="1" t="n">
        <v>44432</v>
      </c>
      <c r="C58" s="1" t="n">
        <v>46190</v>
      </c>
      <c r="D58" t="inlineStr">
        <is>
          <t>SÖDERMANLANDS LÄN</t>
        </is>
      </c>
      <c r="E58" t="inlineStr">
        <is>
          <t>STRÄNGNÄS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66541-2021</t>
        </is>
      </c>
      <c r="B59" s="1" t="n">
        <v>44519.39126157408</v>
      </c>
      <c r="C59" s="1" t="n">
        <v>46190</v>
      </c>
      <c r="D59" t="inlineStr">
        <is>
          <t>SÖDERMANLANDS LÄN</t>
        </is>
      </c>
      <c r="E59" t="inlineStr">
        <is>
          <t>STRÄNGNÄS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47763-2022</t>
        </is>
      </c>
      <c r="B60" s="1" t="n">
        <v>44854</v>
      </c>
      <c r="C60" s="1" t="n">
        <v>46190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53139-2022</t>
        </is>
      </c>
      <c r="B61" s="1" t="n">
        <v>44873</v>
      </c>
      <c r="C61" s="1" t="n">
        <v>46190</v>
      </c>
      <c r="D61" t="inlineStr">
        <is>
          <t>SÖDERMANLANDS LÄN</t>
        </is>
      </c>
      <c r="E61" t="inlineStr">
        <is>
          <t>STRÄNGNÄS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67639-2021</t>
        </is>
      </c>
      <c r="B62" s="1" t="n">
        <v>44524</v>
      </c>
      <c r="C62" s="1" t="n">
        <v>46190</v>
      </c>
      <c r="D62" t="inlineStr">
        <is>
          <t>SÖDERMANLANDS LÄN</t>
        </is>
      </c>
      <c r="E62" t="inlineStr">
        <is>
          <t>STRÄNGNÄS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22069-2022</t>
        </is>
      </c>
      <c r="B63" s="1" t="n">
        <v>44711</v>
      </c>
      <c r="C63" s="1" t="n">
        <v>46190</v>
      </c>
      <c r="D63" t="inlineStr">
        <is>
          <t>SÖDERMANLANDS LÄN</t>
        </is>
      </c>
      <c r="E63" t="inlineStr">
        <is>
          <t>STRÄNGNÄS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50709-2022</t>
        </is>
      </c>
      <c r="B64" s="1" t="n">
        <v>44867</v>
      </c>
      <c r="C64" s="1" t="n">
        <v>46190</v>
      </c>
      <c r="D64" t="inlineStr">
        <is>
          <t>SÖDERMANLANDS LÄN</t>
        </is>
      </c>
      <c r="E64" t="inlineStr">
        <is>
          <t>STRÄNGNÄS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42103-2022</t>
        </is>
      </c>
      <c r="B65" s="1" t="n">
        <v>44830</v>
      </c>
      <c r="C65" s="1" t="n">
        <v>46190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Allmännings- och besparingsskogar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35814-2022</t>
        </is>
      </c>
      <c r="B66" s="1" t="n">
        <v>44799</v>
      </c>
      <c r="C66" s="1" t="n">
        <v>46190</v>
      </c>
      <c r="D66" t="inlineStr">
        <is>
          <t>SÖDERMANLANDS LÄN</t>
        </is>
      </c>
      <c r="E66" t="inlineStr">
        <is>
          <t>STRÄNGNÄS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46586-2021</t>
        </is>
      </c>
      <c r="B67" s="1" t="n">
        <v>44445.51737268519</v>
      </c>
      <c r="C67" s="1" t="n">
        <v>46190</v>
      </c>
      <c r="D67" t="inlineStr">
        <is>
          <t>SÖDERMANLANDS LÄN</t>
        </is>
      </c>
      <c r="E67" t="inlineStr">
        <is>
          <t>STRÄNGNÄS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35369-2021</t>
        </is>
      </c>
      <c r="B68" s="1" t="n">
        <v>44385</v>
      </c>
      <c r="C68" s="1" t="n">
        <v>46190</v>
      </c>
      <c r="D68" t="inlineStr">
        <is>
          <t>SÖDERMANLANDS LÄN</t>
        </is>
      </c>
      <c r="E68" t="inlineStr">
        <is>
          <t>STRÄNGNÄS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51815-2022</t>
        </is>
      </c>
      <c r="B69" s="1" t="n">
        <v>44872</v>
      </c>
      <c r="C69" s="1" t="n">
        <v>46190</v>
      </c>
      <c r="D69" t="inlineStr">
        <is>
          <t>SÖDERMANLANDS LÄN</t>
        </is>
      </c>
      <c r="E69" t="inlineStr">
        <is>
          <t>STRÄNGNÄS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51772-2022</t>
        </is>
      </c>
      <c r="B70" s="1" t="n">
        <v>44872</v>
      </c>
      <c r="C70" s="1" t="n">
        <v>46190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23225-2023</t>
        </is>
      </c>
      <c r="B71" s="1" t="n">
        <v>45075</v>
      </c>
      <c r="C71" s="1" t="n">
        <v>46190</v>
      </c>
      <c r="D71" t="inlineStr">
        <is>
          <t>SÖDERMANLANDS LÄN</t>
        </is>
      </c>
      <c r="E71" t="inlineStr">
        <is>
          <t>STRÄNGNÄS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52452-2024</t>
        </is>
      </c>
      <c r="B72" s="1" t="n">
        <v>45609</v>
      </c>
      <c r="C72" s="1" t="n">
        <v>46190</v>
      </c>
      <c r="D72" t="inlineStr">
        <is>
          <t>SÖDERMANLANDS LÄN</t>
        </is>
      </c>
      <c r="E72" t="inlineStr">
        <is>
          <t>STRÄNGNÄS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20181-2024</t>
        </is>
      </c>
      <c r="B73" s="1" t="n">
        <v>45434.61946759259</v>
      </c>
      <c r="C73" s="1" t="n">
        <v>46190</v>
      </c>
      <c r="D73" t="inlineStr">
        <is>
          <t>SÖDERMANLANDS LÄN</t>
        </is>
      </c>
      <c r="E73" t="inlineStr">
        <is>
          <t>STRÄNGNÄS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38332-2021</t>
        </is>
      </c>
      <c r="B74" s="1" t="n">
        <v>44406</v>
      </c>
      <c r="C74" s="1" t="n">
        <v>46190</v>
      </c>
      <c r="D74" t="inlineStr">
        <is>
          <t>SÖDERMANLANDS LÄN</t>
        </is>
      </c>
      <c r="E74" t="inlineStr">
        <is>
          <t>STRÄNGNÄS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9701-2022</t>
        </is>
      </c>
      <c r="B75" s="1" t="n">
        <v>44617.68679398148</v>
      </c>
      <c r="C75" s="1" t="n">
        <v>46190</v>
      </c>
      <c r="D75" t="inlineStr">
        <is>
          <t>SÖDERMANLANDS LÄN</t>
        </is>
      </c>
      <c r="E75" t="inlineStr">
        <is>
          <t>STRÄNGNÄS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70934-2021</t>
        </is>
      </c>
      <c r="B76" s="1" t="n">
        <v>44537</v>
      </c>
      <c r="C76" s="1" t="n">
        <v>46190</v>
      </c>
      <c r="D76" t="inlineStr">
        <is>
          <t>SÖDERMANLANDS LÄN</t>
        </is>
      </c>
      <c r="E76" t="inlineStr">
        <is>
          <t>STRÄNGNÄS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12792-2024</t>
        </is>
      </c>
      <c r="B77" s="1" t="n">
        <v>45384.62136574074</v>
      </c>
      <c r="C77" s="1" t="n">
        <v>46190</v>
      </c>
      <c r="D77" t="inlineStr">
        <is>
          <t>SÖDERMANLANDS LÄN</t>
        </is>
      </c>
      <c r="E77" t="inlineStr">
        <is>
          <t>STRÄNGNÄS</t>
        </is>
      </c>
      <c r="G77" t="n">
        <v>19.1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22080-2022</t>
        </is>
      </c>
      <c r="B78" s="1" t="n">
        <v>44711</v>
      </c>
      <c r="C78" s="1" t="n">
        <v>46190</v>
      </c>
      <c r="D78" t="inlineStr">
        <is>
          <t>SÖDERMANLANDS LÄN</t>
        </is>
      </c>
      <c r="E78" t="inlineStr">
        <is>
          <t>STRÄNGNÄS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21526-2022</t>
        </is>
      </c>
      <c r="B79" s="1" t="n">
        <v>44706</v>
      </c>
      <c r="C79" s="1" t="n">
        <v>46190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59304-2023</t>
        </is>
      </c>
      <c r="B80" s="1" t="n">
        <v>45253</v>
      </c>
      <c r="C80" s="1" t="n">
        <v>46190</v>
      </c>
      <c r="D80" t="inlineStr">
        <is>
          <t>SÖDERMANLANDS LÄN</t>
        </is>
      </c>
      <c r="E80" t="inlineStr">
        <is>
          <t>STRÄNGNÄS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9158-2022</t>
        </is>
      </c>
      <c r="B81" s="1" t="n">
        <v>44615</v>
      </c>
      <c r="C81" s="1" t="n">
        <v>46190</v>
      </c>
      <c r="D81" t="inlineStr">
        <is>
          <t>SÖDERMANLANDS LÄN</t>
        </is>
      </c>
      <c r="E81" t="inlineStr">
        <is>
          <t>STRÄNGNÄS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43669-2022</t>
        </is>
      </c>
      <c r="B82" s="1" t="n">
        <v>44834</v>
      </c>
      <c r="C82" s="1" t="n">
        <v>46190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21317-2022</t>
        </is>
      </c>
      <c r="B83" s="1" t="n">
        <v>44705</v>
      </c>
      <c r="C83" s="1" t="n">
        <v>46190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42117-2022</t>
        </is>
      </c>
      <c r="B84" s="1" t="n">
        <v>44830</v>
      </c>
      <c r="C84" s="1" t="n">
        <v>46190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41503-2022</t>
        </is>
      </c>
      <c r="B85" s="1" t="n">
        <v>44827.31700231481</v>
      </c>
      <c r="C85" s="1" t="n">
        <v>46190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60747-2021</t>
        </is>
      </c>
      <c r="B86" s="1" t="n">
        <v>44496</v>
      </c>
      <c r="C86" s="1" t="n">
        <v>46190</v>
      </c>
      <c r="D86" t="inlineStr">
        <is>
          <t>SÖDERMANLANDS LÄN</t>
        </is>
      </c>
      <c r="E86" t="inlineStr">
        <is>
          <t>STRÄNGNÄS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51762-2022</t>
        </is>
      </c>
      <c r="B87" s="1" t="n">
        <v>44872</v>
      </c>
      <c r="C87" s="1" t="n">
        <v>46190</v>
      </c>
      <c r="D87" t="inlineStr">
        <is>
          <t>SÖDERMANLANDS LÄN</t>
        </is>
      </c>
      <c r="E87" t="inlineStr">
        <is>
          <t>STRÄNGNÄS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35368-2021</t>
        </is>
      </c>
      <c r="B88" s="1" t="n">
        <v>44384</v>
      </c>
      <c r="C88" s="1" t="n">
        <v>46190</v>
      </c>
      <c r="D88" t="inlineStr">
        <is>
          <t>SÖDERMANLANDS LÄN</t>
        </is>
      </c>
      <c r="E88" t="inlineStr">
        <is>
          <t>STRÄNGNÄS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71414-2021</t>
        </is>
      </c>
      <c r="B89" s="1" t="n">
        <v>44540</v>
      </c>
      <c r="C89" s="1" t="n">
        <v>46190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61567-2024</t>
        </is>
      </c>
      <c r="B90" s="1" t="n">
        <v>45646.61570601852</v>
      </c>
      <c r="C90" s="1" t="n">
        <v>46190</v>
      </c>
      <c r="D90" t="inlineStr">
        <is>
          <t>SÖDERMANLANDS LÄN</t>
        </is>
      </c>
      <c r="E90" t="inlineStr">
        <is>
          <t>STRÄNGNÄS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9607-2022</t>
        </is>
      </c>
      <c r="B91" s="1" t="n">
        <v>44617</v>
      </c>
      <c r="C91" s="1" t="n">
        <v>46190</v>
      </c>
      <c r="D91" t="inlineStr">
        <is>
          <t>SÖDERMANLANDS LÄN</t>
        </is>
      </c>
      <c r="E91" t="inlineStr">
        <is>
          <t>STRÄNGNÄS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60398-2021</t>
        </is>
      </c>
      <c r="B92" s="1" t="n">
        <v>44496.38612268519</v>
      </c>
      <c r="C92" s="1" t="n">
        <v>46190</v>
      </c>
      <c r="D92" t="inlineStr">
        <is>
          <t>SÖDERMANLANDS LÄN</t>
        </is>
      </c>
      <c r="E92" t="inlineStr">
        <is>
          <t>STRÄNGNÄS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33492-2022</t>
        </is>
      </c>
      <c r="B93" s="1" t="n">
        <v>44788</v>
      </c>
      <c r="C93" s="1" t="n">
        <v>46190</v>
      </c>
      <c r="D93" t="inlineStr">
        <is>
          <t>SÖDERMANLANDS LÄN</t>
        </is>
      </c>
      <c r="E93" t="inlineStr">
        <is>
          <t>STRÄNGNÄS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9234-2023</t>
        </is>
      </c>
      <c r="B94" s="1" t="n">
        <v>44980</v>
      </c>
      <c r="C94" s="1" t="n">
        <v>46190</v>
      </c>
      <c r="D94" t="inlineStr">
        <is>
          <t>SÖDERMANLANDS LÄN</t>
        </is>
      </c>
      <c r="E94" t="inlineStr">
        <is>
          <t>STRÄNGNÄS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9237-2023</t>
        </is>
      </c>
      <c r="B95" s="1" t="n">
        <v>44980</v>
      </c>
      <c r="C95" s="1" t="n">
        <v>46190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15572-2024</t>
        </is>
      </c>
      <c r="B96" s="1" t="n">
        <v>45401.68202546296</v>
      </c>
      <c r="C96" s="1" t="n">
        <v>46190</v>
      </c>
      <c r="D96" t="inlineStr">
        <is>
          <t>SÖDERMANLANDS LÄN</t>
        </is>
      </c>
      <c r="E96" t="inlineStr">
        <is>
          <t>STRÄNGNÄS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65160-2023</t>
        </is>
      </c>
      <c r="B97" s="1" t="n">
        <v>45288</v>
      </c>
      <c r="C97" s="1" t="n">
        <v>46190</v>
      </c>
      <c r="D97" t="inlineStr">
        <is>
          <t>SÖDERMANLANDS LÄN</t>
        </is>
      </c>
      <c r="E97" t="inlineStr">
        <is>
          <t>STRÄNGNÄS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65163-2023</t>
        </is>
      </c>
      <c r="B98" s="1" t="n">
        <v>45288</v>
      </c>
      <c r="C98" s="1" t="n">
        <v>46190</v>
      </c>
      <c r="D98" t="inlineStr">
        <is>
          <t>SÖDERMANLANDS LÄN</t>
        </is>
      </c>
      <c r="E98" t="inlineStr">
        <is>
          <t>STRÄNGNÄS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13807-2023</t>
        </is>
      </c>
      <c r="B99" s="1" t="n">
        <v>45007</v>
      </c>
      <c r="C99" s="1" t="n">
        <v>46190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21015-2023</t>
        </is>
      </c>
      <c r="B100" s="1" t="n">
        <v>45056</v>
      </c>
      <c r="C100" s="1" t="n">
        <v>46190</v>
      </c>
      <c r="D100" t="inlineStr">
        <is>
          <t>SÖDERMANLANDS LÄN</t>
        </is>
      </c>
      <c r="E100" t="inlineStr">
        <is>
          <t>STRÄNGNÄS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53897-2022</t>
        </is>
      </c>
      <c r="B101" s="1" t="n">
        <v>44880.74898148148</v>
      </c>
      <c r="C101" s="1" t="n">
        <v>46190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33752-2021</t>
        </is>
      </c>
      <c r="B102" s="1" t="n">
        <v>44378</v>
      </c>
      <c r="C102" s="1" t="n">
        <v>46190</v>
      </c>
      <c r="D102" t="inlineStr">
        <is>
          <t>SÖDERMANLANDS LÄN</t>
        </is>
      </c>
      <c r="E102" t="inlineStr">
        <is>
          <t>STRÄNGNÄS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64355-2023</t>
        </is>
      </c>
      <c r="B103" s="1" t="n">
        <v>45280.49060185185</v>
      </c>
      <c r="C103" s="1" t="n">
        <v>46190</v>
      </c>
      <c r="D103" t="inlineStr">
        <is>
          <t>SÖDERMANLANDS LÄN</t>
        </is>
      </c>
      <c r="E103" t="inlineStr">
        <is>
          <t>STRÄNGNÄS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6057-2025</t>
        </is>
      </c>
      <c r="B104" s="1" t="n">
        <v>45695</v>
      </c>
      <c r="C104" s="1" t="n">
        <v>46190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71391-2021</t>
        </is>
      </c>
      <c r="B105" s="1" t="n">
        <v>44540</v>
      </c>
      <c r="C105" s="1" t="n">
        <v>46190</v>
      </c>
      <c r="D105" t="inlineStr">
        <is>
          <t>SÖDERMANLANDS LÄN</t>
        </is>
      </c>
      <c r="E105" t="inlineStr">
        <is>
          <t>STRÄNGNÄS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58238-2022</t>
        </is>
      </c>
      <c r="B106" s="1" t="n">
        <v>44901</v>
      </c>
      <c r="C106" s="1" t="n">
        <v>46190</v>
      </c>
      <c r="D106" t="inlineStr">
        <is>
          <t>SÖDERMANLANDS LÄN</t>
        </is>
      </c>
      <c r="E106" t="inlineStr">
        <is>
          <t>STRÄNGNÄS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59060-2022</t>
        </is>
      </c>
      <c r="B107" s="1" t="n">
        <v>44904.32708333333</v>
      </c>
      <c r="C107" s="1" t="n">
        <v>46190</v>
      </c>
      <c r="D107" t="inlineStr">
        <is>
          <t>SÖDERMANLANDS LÄN</t>
        </is>
      </c>
      <c r="E107" t="inlineStr">
        <is>
          <t>STRÄNGNÄS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11690-2023</t>
        </is>
      </c>
      <c r="B108" s="1" t="n">
        <v>44992</v>
      </c>
      <c r="C108" s="1" t="n">
        <v>46190</v>
      </c>
      <c r="D108" t="inlineStr">
        <is>
          <t>SÖDERMANLANDS LÄN</t>
        </is>
      </c>
      <c r="E108" t="inlineStr">
        <is>
          <t>STRÄNGNÄS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43946-2022</t>
        </is>
      </c>
      <c r="B109" s="1" t="n">
        <v>44838.585</v>
      </c>
      <c r="C109" s="1" t="n">
        <v>46190</v>
      </c>
      <c r="D109" t="inlineStr">
        <is>
          <t>SÖDERMANLANDS LÄN</t>
        </is>
      </c>
      <c r="E109" t="inlineStr">
        <is>
          <t>STRÄNGNÄS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11281-2025</t>
        </is>
      </c>
      <c r="B110" s="1" t="n">
        <v>45726</v>
      </c>
      <c r="C110" s="1" t="n">
        <v>46190</v>
      </c>
      <c r="D110" t="inlineStr">
        <is>
          <t>SÖDERMANLANDS LÄN</t>
        </is>
      </c>
      <c r="E110" t="inlineStr">
        <is>
          <t>STRÄNGNÄS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2468-2022</t>
        </is>
      </c>
      <c r="B111" s="1" t="n">
        <v>44579</v>
      </c>
      <c r="C111" s="1" t="n">
        <v>46190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26282-2023</t>
        </is>
      </c>
      <c r="B112" s="1" t="n">
        <v>45091.62641203704</v>
      </c>
      <c r="C112" s="1" t="n">
        <v>46190</v>
      </c>
      <c r="D112" t="inlineStr">
        <is>
          <t>SÖDERMANLANDS LÄN</t>
        </is>
      </c>
      <c r="E112" t="inlineStr">
        <is>
          <t>STRÄNGNÄS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28104-2025</t>
        </is>
      </c>
      <c r="B113" s="1" t="n">
        <v>45817</v>
      </c>
      <c r="C113" s="1" t="n">
        <v>46190</v>
      </c>
      <c r="D113" t="inlineStr">
        <is>
          <t>SÖDERMANLANDS LÄN</t>
        </is>
      </c>
      <c r="E113" t="inlineStr">
        <is>
          <t>STRÄNGNÄS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42777-2023</t>
        </is>
      </c>
      <c r="B114" s="1" t="n">
        <v>45177</v>
      </c>
      <c r="C114" s="1" t="n">
        <v>46190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Övriga statliga verk och myndigheter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52355-2023</t>
        </is>
      </c>
      <c r="B115" s="1" t="n">
        <v>45224</v>
      </c>
      <c r="C115" s="1" t="n">
        <v>46190</v>
      </c>
      <c r="D115" t="inlineStr">
        <is>
          <t>SÖDERMANLANDS LÄN</t>
        </is>
      </c>
      <c r="E115" t="inlineStr">
        <is>
          <t>STRÄNGNÄS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20754-2025</t>
        </is>
      </c>
      <c r="B116" s="1" t="n">
        <v>45776</v>
      </c>
      <c r="C116" s="1" t="n">
        <v>46190</v>
      </c>
      <c r="D116" t="inlineStr">
        <is>
          <t>SÖDERMANLANDS LÄN</t>
        </is>
      </c>
      <c r="E116" t="inlineStr">
        <is>
          <t>STRÄNGNÄS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33342-2023</t>
        </is>
      </c>
      <c r="B117" s="1" t="n">
        <v>45128</v>
      </c>
      <c r="C117" s="1" t="n">
        <v>46190</v>
      </c>
      <c r="D117" t="inlineStr">
        <is>
          <t>SÖDERMANLANDS LÄN</t>
        </is>
      </c>
      <c r="E117" t="inlineStr">
        <is>
          <t>STRÄNGNÄS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10867-2023</t>
        </is>
      </c>
      <c r="B118" s="1" t="n">
        <v>44991</v>
      </c>
      <c r="C118" s="1" t="n">
        <v>46190</v>
      </c>
      <c r="D118" t="inlineStr">
        <is>
          <t>SÖDERMANLANDS LÄN</t>
        </is>
      </c>
      <c r="E118" t="inlineStr">
        <is>
          <t>STRÄNGNÄS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9511-2022</t>
        </is>
      </c>
      <c r="B119" s="1" t="n">
        <v>44616</v>
      </c>
      <c r="C119" s="1" t="n">
        <v>46190</v>
      </c>
      <c r="D119" t="inlineStr">
        <is>
          <t>SÖDERMANLANDS LÄN</t>
        </is>
      </c>
      <c r="E119" t="inlineStr">
        <is>
          <t>STRÄNGNÄS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54383-2022</t>
        </is>
      </c>
      <c r="B120" s="1" t="n">
        <v>44882</v>
      </c>
      <c r="C120" s="1" t="n">
        <v>46190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35367-2021</t>
        </is>
      </c>
      <c r="B121" s="1" t="n">
        <v>44384</v>
      </c>
      <c r="C121" s="1" t="n">
        <v>46190</v>
      </c>
      <c r="D121" t="inlineStr">
        <is>
          <t>SÖDERMANLANDS LÄN</t>
        </is>
      </c>
      <c r="E121" t="inlineStr">
        <is>
          <t>STRÄNGNÄS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1305-2023</t>
        </is>
      </c>
      <c r="B122" s="1" t="n">
        <v>44936.5134375</v>
      </c>
      <c r="C122" s="1" t="n">
        <v>46190</v>
      </c>
      <c r="D122" t="inlineStr">
        <is>
          <t>SÖDERMANLANDS LÄN</t>
        </is>
      </c>
      <c r="E122" t="inlineStr">
        <is>
          <t>STRÄNGNÄS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42806-2023</t>
        </is>
      </c>
      <c r="B123" s="1" t="n">
        <v>45182</v>
      </c>
      <c r="C123" s="1" t="n">
        <v>46190</v>
      </c>
      <c r="D123" t="inlineStr">
        <is>
          <t>SÖDERMANLANDS LÄN</t>
        </is>
      </c>
      <c r="E123" t="inlineStr">
        <is>
          <t>STRÄNGNÄS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21126-2023</t>
        </is>
      </c>
      <c r="B124" s="1" t="n">
        <v>45057</v>
      </c>
      <c r="C124" s="1" t="n">
        <v>46190</v>
      </c>
      <c r="D124" t="inlineStr">
        <is>
          <t>SÖDERMANLANDS LÄN</t>
        </is>
      </c>
      <c r="E124" t="inlineStr">
        <is>
          <t>STRÄNGNÄS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60143-2024</t>
        </is>
      </c>
      <c r="B125" s="1" t="n">
        <v>45642.60890046296</v>
      </c>
      <c r="C125" s="1" t="n">
        <v>46190</v>
      </c>
      <c r="D125" t="inlineStr">
        <is>
          <t>SÖDERMANLANDS LÄN</t>
        </is>
      </c>
      <c r="E125" t="inlineStr">
        <is>
          <t>STRÄNGNÄS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12818-2023</t>
        </is>
      </c>
      <c r="B126" s="1" t="n">
        <v>45001</v>
      </c>
      <c r="C126" s="1" t="n">
        <v>46190</v>
      </c>
      <c r="D126" t="inlineStr">
        <is>
          <t>SÖDERMANLANDS LÄN</t>
        </is>
      </c>
      <c r="E126" t="inlineStr">
        <is>
          <t>STRÄNGNÄS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36811-2022</t>
        </is>
      </c>
      <c r="B127" s="1" t="n">
        <v>44805.53609953704</v>
      </c>
      <c r="C127" s="1" t="n">
        <v>46190</v>
      </c>
      <c r="D127" t="inlineStr">
        <is>
          <t>SÖDERMANLANDS LÄN</t>
        </is>
      </c>
      <c r="E127" t="inlineStr">
        <is>
          <t>STRÄNGNÄS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8998-2025</t>
        </is>
      </c>
      <c r="B128" s="1" t="n">
        <v>45713.55796296296</v>
      </c>
      <c r="C128" s="1" t="n">
        <v>46190</v>
      </c>
      <c r="D128" t="inlineStr">
        <is>
          <t>SÖDERMANLANDS LÄN</t>
        </is>
      </c>
      <c r="E128" t="inlineStr">
        <is>
          <t>STRÄNGNÄS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18508-2024</t>
        </is>
      </c>
      <c r="B129" s="1" t="n">
        <v>45425</v>
      </c>
      <c r="C129" s="1" t="n">
        <v>46190</v>
      </c>
      <c r="D129" t="inlineStr">
        <is>
          <t>SÖDERMANLANDS LÄN</t>
        </is>
      </c>
      <c r="E129" t="inlineStr">
        <is>
          <t>STRÄNGNÄS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11243-2023</t>
        </is>
      </c>
      <c r="B130" s="1" t="n">
        <v>44992</v>
      </c>
      <c r="C130" s="1" t="n">
        <v>46190</v>
      </c>
      <c r="D130" t="inlineStr">
        <is>
          <t>SÖDERMANLANDS LÄN</t>
        </is>
      </c>
      <c r="E130" t="inlineStr">
        <is>
          <t>STRÄNGNÄS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22522-2023</t>
        </is>
      </c>
      <c r="B131" s="1" t="n">
        <v>45071</v>
      </c>
      <c r="C131" s="1" t="n">
        <v>46190</v>
      </c>
      <c r="D131" t="inlineStr">
        <is>
          <t>SÖDERMANLANDS LÄN</t>
        </is>
      </c>
      <c r="E131" t="inlineStr">
        <is>
          <t>STRÄNGNÄS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14034-2024</t>
        </is>
      </c>
      <c r="B132" s="1" t="n">
        <v>45392.53106481482</v>
      </c>
      <c r="C132" s="1" t="n">
        <v>46190</v>
      </c>
      <c r="D132" t="inlineStr">
        <is>
          <t>SÖDERMANLANDS LÄN</t>
        </is>
      </c>
      <c r="E132" t="inlineStr">
        <is>
          <t>STRÄNGNÄS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53904-2022</t>
        </is>
      </c>
      <c r="B133" s="1" t="n">
        <v>44880</v>
      </c>
      <c r="C133" s="1" t="n">
        <v>46190</v>
      </c>
      <c r="D133" t="inlineStr">
        <is>
          <t>SÖDERMANLANDS LÄN</t>
        </is>
      </c>
      <c r="E133" t="inlineStr">
        <is>
          <t>STRÄNGNÄS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15397-2022</t>
        </is>
      </c>
      <c r="B134" s="1" t="n">
        <v>44659</v>
      </c>
      <c r="C134" s="1" t="n">
        <v>46190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1117-2022</t>
        </is>
      </c>
      <c r="B135" s="1" t="n">
        <v>44571</v>
      </c>
      <c r="C135" s="1" t="n">
        <v>46190</v>
      </c>
      <c r="D135" t="inlineStr">
        <is>
          <t>SÖDERMANLANDS LÄN</t>
        </is>
      </c>
      <c r="E135" t="inlineStr">
        <is>
          <t>STRÄNGNÄS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13259-2022</t>
        </is>
      </c>
      <c r="B136" s="1" t="n">
        <v>44644</v>
      </c>
      <c r="C136" s="1" t="n">
        <v>46190</v>
      </c>
      <c r="D136" t="inlineStr">
        <is>
          <t>SÖDERMANLANDS LÄN</t>
        </is>
      </c>
      <c r="E136" t="inlineStr">
        <is>
          <t>STRÄNGNÄS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3118-2023</t>
        </is>
      </c>
      <c r="B137" s="1" t="n">
        <v>44946.48351851852</v>
      </c>
      <c r="C137" s="1" t="n">
        <v>46190</v>
      </c>
      <c r="D137" t="inlineStr">
        <is>
          <t>SÖDERMANLANDS LÄN</t>
        </is>
      </c>
      <c r="E137" t="inlineStr">
        <is>
          <t>STRÄNGNÄS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23001-2023</t>
        </is>
      </c>
      <c r="B138" s="1" t="n">
        <v>45072</v>
      </c>
      <c r="C138" s="1" t="n">
        <v>46190</v>
      </c>
      <c r="D138" t="inlineStr">
        <is>
          <t>SÖDERMANLANDS LÄN</t>
        </is>
      </c>
      <c r="E138" t="inlineStr">
        <is>
          <t>STRÄNGNÄS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34391-2024</t>
        </is>
      </c>
      <c r="B139" s="1" t="n">
        <v>45525.43216435185</v>
      </c>
      <c r="C139" s="1" t="n">
        <v>46190</v>
      </c>
      <c r="D139" t="inlineStr">
        <is>
          <t>SÖDERMANLANDS LÄN</t>
        </is>
      </c>
      <c r="E139" t="inlineStr">
        <is>
          <t>STRÄNGNÄS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57231-2024</t>
        </is>
      </c>
      <c r="B140" s="1" t="n">
        <v>45629.54146990741</v>
      </c>
      <c r="C140" s="1" t="n">
        <v>46190</v>
      </c>
      <c r="D140" t="inlineStr">
        <is>
          <t>SÖDERMANLANDS LÄN</t>
        </is>
      </c>
      <c r="E140" t="inlineStr">
        <is>
          <t>STRÄNGNÄS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864-2023</t>
        </is>
      </c>
      <c r="B141" s="1" t="n">
        <v>44931.63074074074</v>
      </c>
      <c r="C141" s="1" t="n">
        <v>46190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42726-2023</t>
        </is>
      </c>
      <c r="B142" s="1" t="n">
        <v>45181</v>
      </c>
      <c r="C142" s="1" t="n">
        <v>46190</v>
      </c>
      <c r="D142" t="inlineStr">
        <is>
          <t>SÖDERMANLANDS LÄN</t>
        </is>
      </c>
      <c r="E142" t="inlineStr">
        <is>
          <t>STRÄNGNÄS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48875-2023</t>
        </is>
      </c>
      <c r="B143" s="1" t="n">
        <v>45204</v>
      </c>
      <c r="C143" s="1" t="n">
        <v>46190</v>
      </c>
      <c r="D143" t="inlineStr">
        <is>
          <t>SÖDERMANLANDS LÄN</t>
        </is>
      </c>
      <c r="E143" t="inlineStr">
        <is>
          <t>STRÄNGNÄS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43412-2021</t>
        </is>
      </c>
      <c r="B144" s="1" t="n">
        <v>44432</v>
      </c>
      <c r="C144" s="1" t="n">
        <v>46190</v>
      </c>
      <c r="D144" t="inlineStr">
        <is>
          <t>SÖDERMANLANDS LÄN</t>
        </is>
      </c>
      <c r="E144" t="inlineStr">
        <is>
          <t>STRÄNGNÄS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13613-2023</t>
        </is>
      </c>
      <c r="B145" s="1" t="n">
        <v>45006</v>
      </c>
      <c r="C145" s="1" t="n">
        <v>46190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65153-2023</t>
        </is>
      </c>
      <c r="B146" s="1" t="n">
        <v>45288</v>
      </c>
      <c r="C146" s="1" t="n">
        <v>46190</v>
      </c>
      <c r="D146" t="inlineStr">
        <is>
          <t>SÖDERMANLANDS LÄN</t>
        </is>
      </c>
      <c r="E146" t="inlineStr">
        <is>
          <t>STRÄNGNÄS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24823-2025</t>
        </is>
      </c>
      <c r="B147" s="1" t="n">
        <v>45799.45325231482</v>
      </c>
      <c r="C147" s="1" t="n">
        <v>46190</v>
      </c>
      <c r="D147" t="inlineStr">
        <is>
          <t>SÖDERMANLANDS LÄN</t>
        </is>
      </c>
      <c r="E147" t="inlineStr">
        <is>
          <t>STRÄNGNÄS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58518-2021</t>
        </is>
      </c>
      <c r="B148" s="1" t="n">
        <v>44488</v>
      </c>
      <c r="C148" s="1" t="n">
        <v>46190</v>
      </c>
      <c r="D148" t="inlineStr">
        <is>
          <t>SÖDERMANLANDS LÄN</t>
        </is>
      </c>
      <c r="E148" t="inlineStr">
        <is>
          <t>STRÄNGNÄS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35495-2023</t>
        </is>
      </c>
      <c r="B149" s="1" t="n">
        <v>45146.74372685186</v>
      </c>
      <c r="C149" s="1" t="n">
        <v>46190</v>
      </c>
      <c r="D149" t="inlineStr">
        <is>
          <t>SÖDERMANLANDS LÄN</t>
        </is>
      </c>
      <c r="E149" t="inlineStr">
        <is>
          <t>STRÄNGNÄS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63732-2021</t>
        </is>
      </c>
      <c r="B150" s="1" t="n">
        <v>44508</v>
      </c>
      <c r="C150" s="1" t="n">
        <v>46190</v>
      </c>
      <c r="D150" t="inlineStr">
        <is>
          <t>SÖDERMANLANDS LÄN</t>
        </is>
      </c>
      <c r="E150" t="inlineStr">
        <is>
          <t>STRÄNGNÄS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34364-2023</t>
        </is>
      </c>
      <c r="B151" s="1" t="n">
        <v>45131</v>
      </c>
      <c r="C151" s="1" t="n">
        <v>46190</v>
      </c>
      <c r="D151" t="inlineStr">
        <is>
          <t>SÖDERMANLANDS LÄN</t>
        </is>
      </c>
      <c r="E151" t="inlineStr">
        <is>
          <t>STRÄNGNÄS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60748-2021</t>
        </is>
      </c>
      <c r="B152" s="1" t="n">
        <v>44496</v>
      </c>
      <c r="C152" s="1" t="n">
        <v>46190</v>
      </c>
      <c r="D152" t="inlineStr">
        <is>
          <t>SÖDERMANLANDS LÄN</t>
        </is>
      </c>
      <c r="E152" t="inlineStr">
        <is>
          <t>STRÄNGNÄS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46882-2023</t>
        </is>
      </c>
      <c r="B153" s="1" t="n">
        <v>45201</v>
      </c>
      <c r="C153" s="1" t="n">
        <v>46190</v>
      </c>
      <c r="D153" t="inlineStr">
        <is>
          <t>SÖDERMANLANDS LÄN</t>
        </is>
      </c>
      <c r="E153" t="inlineStr">
        <is>
          <t>STRÄNGNÄS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18358-2024</t>
        </is>
      </c>
      <c r="B154" s="1" t="n">
        <v>45422</v>
      </c>
      <c r="C154" s="1" t="n">
        <v>46190</v>
      </c>
      <c r="D154" t="inlineStr">
        <is>
          <t>SÖDERMANLANDS LÄN</t>
        </is>
      </c>
      <c r="E154" t="inlineStr">
        <is>
          <t>STRÄNGNÄS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18242-2023</t>
        </is>
      </c>
      <c r="B155" s="1" t="n">
        <v>45041</v>
      </c>
      <c r="C155" s="1" t="n">
        <v>46190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5849-2023</t>
        </is>
      </c>
      <c r="B156" s="1" t="n">
        <v>44963.58222222222</v>
      </c>
      <c r="C156" s="1" t="n">
        <v>46190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15087-2025</t>
        </is>
      </c>
      <c r="B157" s="1" t="n">
        <v>45743</v>
      </c>
      <c r="C157" s="1" t="n">
        <v>46190</v>
      </c>
      <c r="D157" t="inlineStr">
        <is>
          <t>SÖDERMANLANDS LÄN</t>
        </is>
      </c>
      <c r="E157" t="inlineStr">
        <is>
          <t>STRÄNGNÄS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3121-2023</t>
        </is>
      </c>
      <c r="B158" s="1" t="n">
        <v>44946.48709490741</v>
      </c>
      <c r="C158" s="1" t="n">
        <v>46190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30375-2022</t>
        </is>
      </c>
      <c r="B159" s="1" t="n">
        <v>44760</v>
      </c>
      <c r="C159" s="1" t="n">
        <v>46190</v>
      </c>
      <c r="D159" t="inlineStr">
        <is>
          <t>SÖDERMANLANDS LÄN</t>
        </is>
      </c>
      <c r="E159" t="inlineStr">
        <is>
          <t>STRÄNGNÄS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43386-2022</t>
        </is>
      </c>
      <c r="B160" s="1" t="n">
        <v>44834</v>
      </c>
      <c r="C160" s="1" t="n">
        <v>46190</v>
      </c>
      <c r="D160" t="inlineStr">
        <is>
          <t>SÖDERMANLANDS LÄN</t>
        </is>
      </c>
      <c r="E160" t="inlineStr">
        <is>
          <t>STRÄNGNÄS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40112-2025</t>
        </is>
      </c>
      <c r="B161" s="1" t="n">
        <v>45894.49456018519</v>
      </c>
      <c r="C161" s="1" t="n">
        <v>46190</v>
      </c>
      <c r="D161" t="inlineStr">
        <is>
          <t>SÖDERMANLANDS LÄN</t>
        </is>
      </c>
      <c r="E161" t="inlineStr">
        <is>
          <t>STRÄNGNÄS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12546-2025</t>
        </is>
      </c>
      <c r="B162" s="1" t="n">
        <v>45730</v>
      </c>
      <c r="C162" s="1" t="n">
        <v>46190</v>
      </c>
      <c r="D162" t="inlineStr">
        <is>
          <t>SÖDERMANLANDS LÄN</t>
        </is>
      </c>
      <c r="E162" t="inlineStr">
        <is>
          <t>STRÄNGNÄS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5458-2025</t>
        </is>
      </c>
      <c r="B163" s="1" t="n">
        <v>45692</v>
      </c>
      <c r="C163" s="1" t="n">
        <v>46190</v>
      </c>
      <c r="D163" t="inlineStr">
        <is>
          <t>SÖDERMANLANDS LÄN</t>
        </is>
      </c>
      <c r="E163" t="inlineStr">
        <is>
          <t>STRÄNGNÄS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39448-2024</t>
        </is>
      </c>
      <c r="B164" s="1" t="n">
        <v>45551</v>
      </c>
      <c r="C164" s="1" t="n">
        <v>46190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43388-2022</t>
        </is>
      </c>
      <c r="B165" s="1" t="n">
        <v>44834</v>
      </c>
      <c r="C165" s="1" t="n">
        <v>46190</v>
      </c>
      <c r="D165" t="inlineStr">
        <is>
          <t>SÖDERMANLANDS LÄN</t>
        </is>
      </c>
      <c r="E165" t="inlineStr">
        <is>
          <t>STRÄNGNÄS</t>
        </is>
      </c>
      <c r="G165" t="n">
        <v>16.5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1256-2023</t>
        </is>
      </c>
      <c r="B166" s="1" t="n">
        <v>44936.37650462963</v>
      </c>
      <c r="C166" s="1" t="n">
        <v>46190</v>
      </c>
      <c r="D166" t="inlineStr">
        <is>
          <t>SÖDERMANLANDS LÄN</t>
        </is>
      </c>
      <c r="E166" t="inlineStr">
        <is>
          <t>STRÄNGNÄS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9034-2023</t>
        </is>
      </c>
      <c r="B167" s="1" t="n">
        <v>44979</v>
      </c>
      <c r="C167" s="1" t="n">
        <v>46190</v>
      </c>
      <c r="D167" t="inlineStr">
        <is>
          <t>SÖDERMANLANDS LÄN</t>
        </is>
      </c>
      <c r="E167" t="inlineStr">
        <is>
          <t>STRÄNGNÄS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10350-2023</t>
        </is>
      </c>
      <c r="B168" s="1" t="n">
        <v>44987</v>
      </c>
      <c r="C168" s="1" t="n">
        <v>46190</v>
      </c>
      <c r="D168" t="inlineStr">
        <is>
          <t>SÖDERMANLANDS LÄN</t>
        </is>
      </c>
      <c r="E168" t="inlineStr">
        <is>
          <t>STRÄNGNÄS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44479-2023</t>
        </is>
      </c>
      <c r="B169" s="1" t="n">
        <v>45189</v>
      </c>
      <c r="C169" s="1" t="n">
        <v>46190</v>
      </c>
      <c r="D169" t="inlineStr">
        <is>
          <t>SÖDERMANLANDS LÄN</t>
        </is>
      </c>
      <c r="E169" t="inlineStr">
        <is>
          <t>STRÄNGNÄS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57048-2021</t>
        </is>
      </c>
      <c r="B170" s="1" t="n">
        <v>44481</v>
      </c>
      <c r="C170" s="1" t="n">
        <v>46190</v>
      </c>
      <c r="D170" t="inlineStr">
        <is>
          <t>SÖDERMANLANDS LÄN</t>
        </is>
      </c>
      <c r="E170" t="inlineStr">
        <is>
          <t>STRÄNGNÄS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10352-2023</t>
        </is>
      </c>
      <c r="B171" s="1" t="n">
        <v>44987</v>
      </c>
      <c r="C171" s="1" t="n">
        <v>46190</v>
      </c>
      <c r="D171" t="inlineStr">
        <is>
          <t>SÖDERMANLANDS LÄN</t>
        </is>
      </c>
      <c r="E171" t="inlineStr">
        <is>
          <t>STRÄNGNÄS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48886-2023</t>
        </is>
      </c>
      <c r="B172" s="1" t="n">
        <v>45209</v>
      </c>
      <c r="C172" s="1" t="n">
        <v>46190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30622-2025</t>
        </is>
      </c>
      <c r="B173" s="1" t="n">
        <v>45831.47150462963</v>
      </c>
      <c r="C173" s="1" t="n">
        <v>46190</v>
      </c>
      <c r="D173" t="inlineStr">
        <is>
          <t>SÖDERMANLANDS LÄN</t>
        </is>
      </c>
      <c r="E173" t="inlineStr">
        <is>
          <t>STRÄNGNÄS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37429-2021</t>
        </is>
      </c>
      <c r="B174" s="1" t="n">
        <v>44398</v>
      </c>
      <c r="C174" s="1" t="n">
        <v>46190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37431-2021</t>
        </is>
      </c>
      <c r="B175" s="1" t="n">
        <v>44398</v>
      </c>
      <c r="C175" s="1" t="n">
        <v>46190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3824-2024</t>
        </is>
      </c>
      <c r="B176" s="1" t="n">
        <v>45321</v>
      </c>
      <c r="C176" s="1" t="n">
        <v>46190</v>
      </c>
      <c r="D176" t="inlineStr">
        <is>
          <t>SÖDERMANLANDS LÄN</t>
        </is>
      </c>
      <c r="E176" t="inlineStr">
        <is>
          <t>STRÄNGNÄS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65161-2023</t>
        </is>
      </c>
      <c r="B177" s="1" t="n">
        <v>45288</v>
      </c>
      <c r="C177" s="1" t="n">
        <v>46190</v>
      </c>
      <c r="D177" t="inlineStr">
        <is>
          <t>SÖDERMANLANDS LÄN</t>
        </is>
      </c>
      <c r="E177" t="inlineStr">
        <is>
          <t>STRÄNGNÄS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18879-2023</t>
        </is>
      </c>
      <c r="B178" s="1" t="n">
        <v>45044</v>
      </c>
      <c r="C178" s="1" t="n">
        <v>46190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51763-2022</t>
        </is>
      </c>
      <c r="B179" s="1" t="n">
        <v>44872</v>
      </c>
      <c r="C179" s="1" t="n">
        <v>46190</v>
      </c>
      <c r="D179" t="inlineStr">
        <is>
          <t>SÖDERMANLANDS LÄN</t>
        </is>
      </c>
      <c r="E179" t="inlineStr">
        <is>
          <t>STRÄNGNÄS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24980-2025</t>
        </is>
      </c>
      <c r="B180" s="1" t="n">
        <v>45799</v>
      </c>
      <c r="C180" s="1" t="n">
        <v>46190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3773-2025</t>
        </is>
      </c>
      <c r="B181" s="1" t="n">
        <v>45681</v>
      </c>
      <c r="C181" s="1" t="n">
        <v>46190</v>
      </c>
      <c r="D181" t="inlineStr">
        <is>
          <t>SÖDERMANLANDS LÄN</t>
        </is>
      </c>
      <c r="E181" t="inlineStr">
        <is>
          <t>STRÄNGNÄS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22530-2023</t>
        </is>
      </c>
      <c r="B182" s="1" t="n">
        <v>45071.42302083333</v>
      </c>
      <c r="C182" s="1" t="n">
        <v>46190</v>
      </c>
      <c r="D182" t="inlineStr">
        <is>
          <t>SÖDERMANLANDS LÄN</t>
        </is>
      </c>
      <c r="E182" t="inlineStr">
        <is>
          <t>STRÄNGNÄS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52773-2023</t>
        </is>
      </c>
      <c r="B183" s="1" t="n">
        <v>45219</v>
      </c>
      <c r="C183" s="1" t="n">
        <v>46190</v>
      </c>
      <c r="D183" t="inlineStr">
        <is>
          <t>SÖDERMANLANDS LÄN</t>
        </is>
      </c>
      <c r="E183" t="inlineStr">
        <is>
          <t>STRÄNGNÄS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52840-2023</t>
        </is>
      </c>
      <c r="B184" s="1" t="n">
        <v>45226</v>
      </c>
      <c r="C184" s="1" t="n">
        <v>46190</v>
      </c>
      <c r="D184" t="inlineStr">
        <is>
          <t>SÖDERMANLANDS LÄN</t>
        </is>
      </c>
      <c r="E184" t="inlineStr">
        <is>
          <t>STRÄNGNÄS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32627-2025</t>
        </is>
      </c>
      <c r="B185" s="1" t="n">
        <v>45838.65256944444</v>
      </c>
      <c r="C185" s="1" t="n">
        <v>46190</v>
      </c>
      <c r="D185" t="inlineStr">
        <is>
          <t>SÖDERMANLANDS LÄN</t>
        </is>
      </c>
      <c r="E185" t="inlineStr">
        <is>
          <t>STRÄNGNÄS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17066-2022</t>
        </is>
      </c>
      <c r="B186" s="1" t="n">
        <v>44676</v>
      </c>
      <c r="C186" s="1" t="n">
        <v>46190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48823-2023</t>
        </is>
      </c>
      <c r="B187" s="1" t="n">
        <v>45209</v>
      </c>
      <c r="C187" s="1" t="n">
        <v>46190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888-2023</t>
        </is>
      </c>
      <c r="B188" s="1" t="n">
        <v>44931.73346064815</v>
      </c>
      <c r="C188" s="1" t="n">
        <v>46190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34401-2024</t>
        </is>
      </c>
      <c r="B189" s="1" t="n">
        <v>45525.45232638889</v>
      </c>
      <c r="C189" s="1" t="n">
        <v>46190</v>
      </c>
      <c r="D189" t="inlineStr">
        <is>
          <t>SÖDERMANLANDS LÄN</t>
        </is>
      </c>
      <c r="E189" t="inlineStr">
        <is>
          <t>STRÄNGNÄS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5805-2022</t>
        </is>
      </c>
      <c r="B190" s="1" t="n">
        <v>44596</v>
      </c>
      <c r="C190" s="1" t="n">
        <v>46190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41241-2022</t>
        </is>
      </c>
      <c r="B191" s="1" t="n">
        <v>44826</v>
      </c>
      <c r="C191" s="1" t="n">
        <v>46190</v>
      </c>
      <c r="D191" t="inlineStr">
        <is>
          <t>SÖDERMANLANDS LÄN</t>
        </is>
      </c>
      <c r="E191" t="inlineStr">
        <is>
          <t>STRÄNGNÄS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20938-2023</t>
        </is>
      </c>
      <c r="B192" s="1" t="n">
        <v>45061</v>
      </c>
      <c r="C192" s="1" t="n">
        <v>46190</v>
      </c>
      <c r="D192" t="inlineStr">
        <is>
          <t>SÖDERMANLANDS LÄN</t>
        </is>
      </c>
      <c r="E192" t="inlineStr">
        <is>
          <t>STRÄNGNÄS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35370-2025</t>
        </is>
      </c>
      <c r="B193" s="1" t="n">
        <v>45854</v>
      </c>
      <c r="C193" s="1" t="n">
        <v>46190</v>
      </c>
      <c r="D193" t="inlineStr">
        <is>
          <t>SÖDERMANLANDS LÄN</t>
        </is>
      </c>
      <c r="E193" t="inlineStr">
        <is>
          <t>STRÄNGNÄS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66296-2021</t>
        </is>
      </c>
      <c r="B194" s="1" t="n">
        <v>44518</v>
      </c>
      <c r="C194" s="1" t="n">
        <v>46190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Övriga statliga verk och myndigheter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30477-2024</t>
        </is>
      </c>
      <c r="B195" s="1" t="n">
        <v>45491</v>
      </c>
      <c r="C195" s="1" t="n">
        <v>46190</v>
      </c>
      <c r="D195" t="inlineStr">
        <is>
          <t>SÖDERMANLANDS LÄN</t>
        </is>
      </c>
      <c r="E195" t="inlineStr">
        <is>
          <t>STRÄNGNÄS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67925-2021</t>
        </is>
      </c>
      <c r="B196" s="1" t="n">
        <v>44525</v>
      </c>
      <c r="C196" s="1" t="n">
        <v>46190</v>
      </c>
      <c r="D196" t="inlineStr">
        <is>
          <t>SÖDERMANLANDS LÄN</t>
        </is>
      </c>
      <c r="E196" t="inlineStr">
        <is>
          <t>STRÄNGNÄS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3185-2022</t>
        </is>
      </c>
      <c r="B197" s="1" t="n">
        <v>44582</v>
      </c>
      <c r="C197" s="1" t="n">
        <v>46190</v>
      </c>
      <c r="D197" t="inlineStr">
        <is>
          <t>SÖDERMANLANDS LÄN</t>
        </is>
      </c>
      <c r="E197" t="inlineStr">
        <is>
          <t>STRÄNGNÄS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1251-2023</t>
        </is>
      </c>
      <c r="B198" s="1" t="n">
        <v>44936</v>
      </c>
      <c r="C198" s="1" t="n">
        <v>46190</v>
      </c>
      <c r="D198" t="inlineStr">
        <is>
          <t>SÖDERMANLANDS LÄN</t>
        </is>
      </c>
      <c r="E198" t="inlineStr">
        <is>
          <t>STRÄNGNÄS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60764-2021</t>
        </is>
      </c>
      <c r="B199" s="1" t="n">
        <v>44496</v>
      </c>
      <c r="C199" s="1" t="n">
        <v>46190</v>
      </c>
      <c r="D199" t="inlineStr">
        <is>
          <t>SÖDERMANLANDS LÄN</t>
        </is>
      </c>
      <c r="E199" t="inlineStr">
        <is>
          <t>STRÄNGNÄS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43391-2025</t>
        </is>
      </c>
      <c r="B200" s="1" t="n">
        <v>45911.36902777778</v>
      </c>
      <c r="C200" s="1" t="n">
        <v>46190</v>
      </c>
      <c r="D200" t="inlineStr">
        <is>
          <t>SÖDERMANLANDS LÄN</t>
        </is>
      </c>
      <c r="E200" t="inlineStr">
        <is>
          <t>STRÄNGNÄS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33314-2021</t>
        </is>
      </c>
      <c r="B201" s="1" t="n">
        <v>44377</v>
      </c>
      <c r="C201" s="1" t="n">
        <v>46190</v>
      </c>
      <c r="D201" t="inlineStr">
        <is>
          <t>SÖDERMANLANDS LÄN</t>
        </is>
      </c>
      <c r="E201" t="inlineStr">
        <is>
          <t>STRÄNGNÄS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36440-2025</t>
        </is>
      </c>
      <c r="B202" s="1" t="n">
        <v>45869</v>
      </c>
      <c r="C202" s="1" t="n">
        <v>46190</v>
      </c>
      <c r="D202" t="inlineStr">
        <is>
          <t>SÖDERMANLANDS LÄN</t>
        </is>
      </c>
      <c r="E202" t="inlineStr">
        <is>
          <t>STRÄNGNÄS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3037-2022</t>
        </is>
      </c>
      <c r="B203" s="1" t="n">
        <v>44581</v>
      </c>
      <c r="C203" s="1" t="n">
        <v>46190</v>
      </c>
      <c r="D203" t="inlineStr">
        <is>
          <t>SÖDERMANLANDS LÄN</t>
        </is>
      </c>
      <c r="E203" t="inlineStr">
        <is>
          <t>STRÄNGNÄS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243-2023</t>
        </is>
      </c>
      <c r="B204" s="1" t="n">
        <v>44928</v>
      </c>
      <c r="C204" s="1" t="n">
        <v>46190</v>
      </c>
      <c r="D204" t="inlineStr">
        <is>
          <t>SÖDERMANLANDS LÄN</t>
        </is>
      </c>
      <c r="E204" t="inlineStr">
        <is>
          <t>STRÄNGNÄS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54451-2025</t>
        </is>
      </c>
      <c r="B205" s="1" t="n">
        <v>45965</v>
      </c>
      <c r="C205" s="1" t="n">
        <v>46190</v>
      </c>
      <c r="D205" t="inlineStr">
        <is>
          <t>SÖDERMANLANDS LÄN</t>
        </is>
      </c>
      <c r="E205" t="inlineStr">
        <is>
          <t>STRÄNGNÄS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36799-2025</t>
        </is>
      </c>
      <c r="B206" s="1" t="n">
        <v>45873.65800925926</v>
      </c>
      <c r="C206" s="1" t="n">
        <v>46190</v>
      </c>
      <c r="D206" t="inlineStr">
        <is>
          <t>SÖDERMANLANDS LÄN</t>
        </is>
      </c>
      <c r="E206" t="inlineStr">
        <is>
          <t>STRÄNGNÄS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52904-2023</t>
        </is>
      </c>
      <c r="B207" s="1" t="n">
        <v>45226</v>
      </c>
      <c r="C207" s="1" t="n">
        <v>46190</v>
      </c>
      <c r="D207" t="inlineStr">
        <is>
          <t>SÖDERMANLANDS LÄN</t>
        </is>
      </c>
      <c r="E207" t="inlineStr">
        <is>
          <t>STRÄNGNÄS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16414-2022</t>
        </is>
      </c>
      <c r="B208" s="1" t="n">
        <v>44671</v>
      </c>
      <c r="C208" s="1" t="n">
        <v>46190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Övriga Aktiebolag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23541-2023</t>
        </is>
      </c>
      <c r="B209" s="1" t="n">
        <v>45077</v>
      </c>
      <c r="C209" s="1" t="n">
        <v>46190</v>
      </c>
      <c r="D209" t="inlineStr">
        <is>
          <t>SÖDERMANLANDS LÄN</t>
        </is>
      </c>
      <c r="E209" t="inlineStr">
        <is>
          <t>STRÄNGNÄS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56124-2025</t>
        </is>
      </c>
      <c r="B210" s="1" t="n">
        <v>45973.85230324074</v>
      </c>
      <c r="C210" s="1" t="n">
        <v>46190</v>
      </c>
      <c r="D210" t="inlineStr">
        <is>
          <t>SÖDERMANLANDS LÄN</t>
        </is>
      </c>
      <c r="E210" t="inlineStr">
        <is>
          <t>STRÄNGNÄS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57150-2025</t>
        </is>
      </c>
      <c r="B211" s="1" t="n">
        <v>45979.49871527778</v>
      </c>
      <c r="C211" s="1" t="n">
        <v>46190</v>
      </c>
      <c r="D211" t="inlineStr">
        <is>
          <t>SÖDERMANLANDS LÄN</t>
        </is>
      </c>
      <c r="E211" t="inlineStr">
        <is>
          <t>STRÄNGNÄS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49759-2025</t>
        </is>
      </c>
      <c r="B212" s="1" t="n">
        <v>45939</v>
      </c>
      <c r="C212" s="1" t="n">
        <v>46190</v>
      </c>
      <c r="D212" t="inlineStr">
        <is>
          <t>SÖDERMANLANDS LÄN</t>
        </is>
      </c>
      <c r="E212" t="inlineStr">
        <is>
          <t>STRÄNGNÄS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32079-2024</t>
        </is>
      </c>
      <c r="B213" s="1" t="n">
        <v>45511.31266203704</v>
      </c>
      <c r="C213" s="1" t="n">
        <v>46190</v>
      </c>
      <c r="D213" t="inlineStr">
        <is>
          <t>SÖDERMANLANDS LÄN</t>
        </is>
      </c>
      <c r="E213" t="inlineStr">
        <is>
          <t>STRÄNGNÄS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42750-2023</t>
        </is>
      </c>
      <c r="B214" s="1" t="n">
        <v>45177</v>
      </c>
      <c r="C214" s="1" t="n">
        <v>46190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Övriga statliga verk och myndigheter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38198-2025</t>
        </is>
      </c>
      <c r="B215" s="1" t="n">
        <v>45882.67344907407</v>
      </c>
      <c r="C215" s="1" t="n">
        <v>46190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58936-2025</t>
        </is>
      </c>
      <c r="B216" s="1" t="n">
        <v>45986</v>
      </c>
      <c r="C216" s="1" t="n">
        <v>46190</v>
      </c>
      <c r="D216" t="inlineStr">
        <is>
          <t>SÖDERMANLANDS LÄN</t>
        </is>
      </c>
      <c r="E216" t="inlineStr">
        <is>
          <t>STRÄNGNÄS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58935-2025</t>
        </is>
      </c>
      <c r="B217" s="1" t="n">
        <v>45986</v>
      </c>
      <c r="C217" s="1" t="n">
        <v>46190</v>
      </c>
      <c r="D217" t="inlineStr">
        <is>
          <t>SÖDERMANLANDS LÄN</t>
        </is>
      </c>
      <c r="E217" t="inlineStr">
        <is>
          <t>STRÄNGNÄS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18860-2023</t>
        </is>
      </c>
      <c r="B218" s="1" t="n">
        <v>45044</v>
      </c>
      <c r="C218" s="1" t="n">
        <v>46190</v>
      </c>
      <c r="D218" t="inlineStr">
        <is>
          <t>SÖDERMANLANDS LÄN</t>
        </is>
      </c>
      <c r="E218" t="inlineStr">
        <is>
          <t>STRÄNGNÄS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18865-2023</t>
        </is>
      </c>
      <c r="B219" s="1" t="n">
        <v>45044</v>
      </c>
      <c r="C219" s="1" t="n">
        <v>46190</v>
      </c>
      <c r="D219" t="inlineStr">
        <is>
          <t>SÖDERMANLANDS LÄN</t>
        </is>
      </c>
      <c r="E219" t="inlineStr">
        <is>
          <t>STRÄNGNÄS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55054-2023</t>
        </is>
      </c>
      <c r="B220" s="1" t="n">
        <v>45237</v>
      </c>
      <c r="C220" s="1" t="n">
        <v>46190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52790-2023</t>
        </is>
      </c>
      <c r="B221" s="1" t="n">
        <v>45219</v>
      </c>
      <c r="C221" s="1" t="n">
        <v>46190</v>
      </c>
      <c r="D221" t="inlineStr">
        <is>
          <t>SÖDERMANLANDS LÄN</t>
        </is>
      </c>
      <c r="E221" t="inlineStr">
        <is>
          <t>STRÄNGNÄS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61124-2025</t>
        </is>
      </c>
      <c r="B222" s="1" t="n">
        <v>46000</v>
      </c>
      <c r="C222" s="1" t="n">
        <v>46190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2497-2022</t>
        </is>
      </c>
      <c r="B223" s="1" t="n">
        <v>44579</v>
      </c>
      <c r="C223" s="1" t="n">
        <v>46190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42345-2025</t>
        </is>
      </c>
      <c r="B224" s="1" t="n">
        <v>45904</v>
      </c>
      <c r="C224" s="1" t="n">
        <v>46190</v>
      </c>
      <c r="D224" t="inlineStr">
        <is>
          <t>SÖDERMANLANDS LÄN</t>
        </is>
      </c>
      <c r="E224" t="inlineStr">
        <is>
          <t>STRÄNGNÄS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41231-2025</t>
        </is>
      </c>
      <c r="B225" s="1" t="n">
        <v>45898</v>
      </c>
      <c r="C225" s="1" t="n">
        <v>46190</v>
      </c>
      <c r="D225" t="inlineStr">
        <is>
          <t>SÖDERMANLANDS LÄN</t>
        </is>
      </c>
      <c r="E225" t="inlineStr">
        <is>
          <t>STRÄNGNÄS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62746-2025</t>
        </is>
      </c>
      <c r="B226" s="1" t="n">
        <v>46008.57758101852</v>
      </c>
      <c r="C226" s="1" t="n">
        <v>46190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62988-2025</t>
        </is>
      </c>
      <c r="B227" s="1" t="n">
        <v>46009.4964699074</v>
      </c>
      <c r="C227" s="1" t="n">
        <v>46190</v>
      </c>
      <c r="D227" t="inlineStr">
        <is>
          <t>SÖDERMANLANDS LÄN</t>
        </is>
      </c>
      <c r="E227" t="inlineStr">
        <is>
          <t>STRÄNGNÄS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43387-2022</t>
        </is>
      </c>
      <c r="B228" s="1" t="n">
        <v>44834</v>
      </c>
      <c r="C228" s="1" t="n">
        <v>46190</v>
      </c>
      <c r="D228" t="inlineStr">
        <is>
          <t>SÖDERMANLANDS LÄN</t>
        </is>
      </c>
      <c r="E228" t="inlineStr">
        <is>
          <t>STRÄNGNÄS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41234-2025</t>
        </is>
      </c>
      <c r="B229" s="1" t="n">
        <v>45898</v>
      </c>
      <c r="C229" s="1" t="n">
        <v>46190</v>
      </c>
      <c r="D229" t="inlineStr">
        <is>
          <t>SÖDERMANLANDS LÄN</t>
        </is>
      </c>
      <c r="E229" t="inlineStr">
        <is>
          <t>STRÄNGNÄS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4335-2023</t>
        </is>
      </c>
      <c r="B230" s="1" t="n">
        <v>44953.80351851852</v>
      </c>
      <c r="C230" s="1" t="n">
        <v>46190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45984-2022</t>
        </is>
      </c>
      <c r="B231" s="1" t="n">
        <v>44846.71223379629</v>
      </c>
      <c r="C231" s="1" t="n">
        <v>46190</v>
      </c>
      <c r="D231" t="inlineStr">
        <is>
          <t>SÖDERMANLANDS LÄN</t>
        </is>
      </c>
      <c r="E231" t="inlineStr">
        <is>
          <t>STRÄNGNÄS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12114-2023</t>
        </is>
      </c>
      <c r="B232" s="1" t="n">
        <v>44998</v>
      </c>
      <c r="C232" s="1" t="n">
        <v>46190</v>
      </c>
      <c r="D232" t="inlineStr">
        <is>
          <t>SÖDERMANLANDS LÄN</t>
        </is>
      </c>
      <c r="E232" t="inlineStr">
        <is>
          <t>STRÄNGNÄS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1209-2026</t>
        </is>
      </c>
      <c r="B233" s="1" t="n">
        <v>46031.38653935185</v>
      </c>
      <c r="C233" s="1" t="n">
        <v>46190</v>
      </c>
      <c r="D233" t="inlineStr">
        <is>
          <t>SÖDERMANLANDS LÄN</t>
        </is>
      </c>
      <c r="E233" t="inlineStr">
        <is>
          <t>STRÄNGNÄS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1108-2026</t>
        </is>
      </c>
      <c r="B234" s="1" t="n">
        <v>46030.67390046296</v>
      </c>
      <c r="C234" s="1" t="n">
        <v>46190</v>
      </c>
      <c r="D234" t="inlineStr">
        <is>
          <t>SÖDERMANLANDS LÄN</t>
        </is>
      </c>
      <c r="E234" t="inlineStr">
        <is>
          <t>STRÄNGNÄS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1313-2026</t>
        </is>
      </c>
      <c r="B235" s="1" t="n">
        <v>46031.53706018518</v>
      </c>
      <c r="C235" s="1" t="n">
        <v>46190</v>
      </c>
      <c r="D235" t="inlineStr">
        <is>
          <t>SÖDERMANLANDS LÄN</t>
        </is>
      </c>
      <c r="E235" t="inlineStr">
        <is>
          <t>STRÄNGNÄS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1018-2026</t>
        </is>
      </c>
      <c r="B236" s="1" t="n">
        <v>46030.60424768519</v>
      </c>
      <c r="C236" s="1" t="n">
        <v>46190</v>
      </c>
      <c r="D236" t="inlineStr">
        <is>
          <t>SÖDERMANLANDS LÄN</t>
        </is>
      </c>
      <c r="E236" t="inlineStr">
        <is>
          <t>STRÄNGNÄS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54656-2023</t>
        </is>
      </c>
      <c r="B237" s="1" t="n">
        <v>45235.49327546296</v>
      </c>
      <c r="C237" s="1" t="n">
        <v>46190</v>
      </c>
      <c r="D237" t="inlineStr">
        <is>
          <t>SÖDERMANLANDS LÄN</t>
        </is>
      </c>
      <c r="E237" t="inlineStr">
        <is>
          <t>STRÄNGNÄS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1680-2026</t>
        </is>
      </c>
      <c r="B238" s="1" t="n">
        <v>46034.57910879629</v>
      </c>
      <c r="C238" s="1" t="n">
        <v>46190</v>
      </c>
      <c r="D238" t="inlineStr">
        <is>
          <t>SÖDERMANLANDS LÄN</t>
        </is>
      </c>
      <c r="E238" t="inlineStr">
        <is>
          <t>STRÄNGNÄS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1718-2026</t>
        </is>
      </c>
      <c r="B239" s="1" t="n">
        <v>46034.61094907407</v>
      </c>
      <c r="C239" s="1" t="n">
        <v>46190</v>
      </c>
      <c r="D239" t="inlineStr">
        <is>
          <t>SÖDERMANLANDS LÄN</t>
        </is>
      </c>
      <c r="E239" t="inlineStr">
        <is>
          <t>STRÄNGNÄS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1892-2026</t>
        </is>
      </c>
      <c r="B240" s="1" t="n">
        <v>46035.49644675926</v>
      </c>
      <c r="C240" s="1" t="n">
        <v>46190</v>
      </c>
      <c r="D240" t="inlineStr">
        <is>
          <t>SÖDERMANLANDS LÄN</t>
        </is>
      </c>
      <c r="E240" t="inlineStr">
        <is>
          <t>STRÄNGNÄS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1511-2026</t>
        </is>
      </c>
      <c r="B241" s="1" t="n">
        <v>46034.34497685185</v>
      </c>
      <c r="C241" s="1" t="n">
        <v>46190</v>
      </c>
      <c r="D241" t="inlineStr">
        <is>
          <t>SÖDERMANLANDS LÄN</t>
        </is>
      </c>
      <c r="E241" t="inlineStr">
        <is>
          <t>STRÄNGNÄS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1553-2026</t>
        </is>
      </c>
      <c r="B242" s="1" t="n">
        <v>46034.38765046297</v>
      </c>
      <c r="C242" s="1" t="n">
        <v>46190</v>
      </c>
      <c r="D242" t="inlineStr">
        <is>
          <t>SÖDERMANLANDS LÄN</t>
        </is>
      </c>
      <c r="E242" t="inlineStr">
        <is>
          <t>STRÄNGNÄS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2007-2026</t>
        </is>
      </c>
      <c r="B243" s="1" t="n">
        <v>46035.69744212963</v>
      </c>
      <c r="C243" s="1" t="n">
        <v>46190</v>
      </c>
      <c r="D243" t="inlineStr">
        <is>
          <t>SÖDERMANLANDS LÄN</t>
        </is>
      </c>
      <c r="E243" t="inlineStr">
        <is>
          <t>STRÄNGNÄS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1757-2026</t>
        </is>
      </c>
      <c r="B244" s="1" t="n">
        <v>46034.66802083333</v>
      </c>
      <c r="C244" s="1" t="n">
        <v>46190</v>
      </c>
      <c r="D244" t="inlineStr">
        <is>
          <t>SÖDERMANLANDS LÄN</t>
        </is>
      </c>
      <c r="E244" t="inlineStr">
        <is>
          <t>STRÄNGNÄS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1624-2026</t>
        </is>
      </c>
      <c r="B245" s="1" t="n">
        <v>46034.48202546296</v>
      </c>
      <c r="C245" s="1" t="n">
        <v>46190</v>
      </c>
      <c r="D245" t="inlineStr">
        <is>
          <t>SÖDERMANLANDS LÄN</t>
        </is>
      </c>
      <c r="E245" t="inlineStr">
        <is>
          <t>STRÄNGNÄS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1744-2026</t>
        </is>
      </c>
      <c r="B246" s="1" t="n">
        <v>46034.65070601852</v>
      </c>
      <c r="C246" s="1" t="n">
        <v>46190</v>
      </c>
      <c r="D246" t="inlineStr">
        <is>
          <t>SÖDERMANLANDS LÄN</t>
        </is>
      </c>
      <c r="E246" t="inlineStr">
        <is>
          <t>STRÄNGNÄS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1660-2026</t>
        </is>
      </c>
      <c r="B247" s="1" t="n">
        <v>46034.55472222222</v>
      </c>
      <c r="C247" s="1" t="n">
        <v>46190</v>
      </c>
      <c r="D247" t="inlineStr">
        <is>
          <t>SÖDERMANLANDS LÄN</t>
        </is>
      </c>
      <c r="E247" t="inlineStr">
        <is>
          <t>STRÄNGNÄS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1915-2026</t>
        </is>
      </c>
      <c r="B248" s="1" t="n">
        <v>46035.55983796297</v>
      </c>
      <c r="C248" s="1" t="n">
        <v>46190</v>
      </c>
      <c r="D248" t="inlineStr">
        <is>
          <t>SÖDERMANLANDS LÄN</t>
        </is>
      </c>
      <c r="E248" t="inlineStr">
        <is>
          <t>STRÄNGNÄS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1496-2026</t>
        </is>
      </c>
      <c r="B249" s="1" t="n">
        <v>46034.32579861111</v>
      </c>
      <c r="C249" s="1" t="n">
        <v>46190</v>
      </c>
      <c r="D249" t="inlineStr">
        <is>
          <t>SÖDERMANLANDS LÄN</t>
        </is>
      </c>
      <c r="E249" t="inlineStr">
        <is>
          <t>STRÄNGNÄS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2636-2026</t>
        </is>
      </c>
      <c r="B250" s="1" t="n">
        <v>46037.61361111111</v>
      </c>
      <c r="C250" s="1" t="n">
        <v>46190</v>
      </c>
      <c r="D250" t="inlineStr">
        <is>
          <t>SÖDERMANLANDS LÄN</t>
        </is>
      </c>
      <c r="E250" t="inlineStr">
        <is>
          <t>STRÄNGNÄS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2368-2026</t>
        </is>
      </c>
      <c r="B251" s="1" t="n">
        <v>46036.64560185185</v>
      </c>
      <c r="C251" s="1" t="n">
        <v>46190</v>
      </c>
      <c r="D251" t="inlineStr">
        <is>
          <t>SÖDERMANLANDS LÄN</t>
        </is>
      </c>
      <c r="E251" t="inlineStr">
        <is>
          <t>STRÄNGNÄS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2256-2026</t>
        </is>
      </c>
      <c r="B252" s="1" t="n">
        <v>46036.56039351852</v>
      </c>
      <c r="C252" s="1" t="n">
        <v>46190</v>
      </c>
      <c r="D252" t="inlineStr">
        <is>
          <t>SÖDERMANLANDS LÄN</t>
        </is>
      </c>
      <c r="E252" t="inlineStr">
        <is>
          <t>STRÄNGNÄS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2328-2026</t>
        </is>
      </c>
      <c r="B253" s="1" t="n">
        <v>46036.60653935185</v>
      </c>
      <c r="C253" s="1" t="n">
        <v>46190</v>
      </c>
      <c r="D253" t="inlineStr">
        <is>
          <t>SÖDERMANLANDS LÄN</t>
        </is>
      </c>
      <c r="E253" t="inlineStr">
        <is>
          <t>STRÄNGNÄS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2268-2026</t>
        </is>
      </c>
      <c r="B254" s="1" t="n">
        <v>46036.57185185186</v>
      </c>
      <c r="C254" s="1" t="n">
        <v>46190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2302-2026</t>
        </is>
      </c>
      <c r="B255" s="1" t="n">
        <v>46036.58943287037</v>
      </c>
      <c r="C255" s="1" t="n">
        <v>46190</v>
      </c>
      <c r="D255" t="inlineStr">
        <is>
          <t>SÖDERMANLANDS LÄN</t>
        </is>
      </c>
      <c r="E255" t="inlineStr">
        <is>
          <t>STRÄNGNÄS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12123-2023</t>
        </is>
      </c>
      <c r="B256" s="1" t="n">
        <v>44998.43070601852</v>
      </c>
      <c r="C256" s="1" t="n">
        <v>46190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3127-2026</t>
        </is>
      </c>
      <c r="B257" s="1" t="n">
        <v>46041.3790625</v>
      </c>
      <c r="C257" s="1" t="n">
        <v>46190</v>
      </c>
      <c r="D257" t="inlineStr">
        <is>
          <t>SÖDERMANLANDS LÄN</t>
        </is>
      </c>
      <c r="E257" t="inlineStr">
        <is>
          <t>STRÄNGNÄS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3207-2026</t>
        </is>
      </c>
      <c r="B258" s="1" t="n">
        <v>46041.48710648148</v>
      </c>
      <c r="C258" s="1" t="n">
        <v>46190</v>
      </c>
      <c r="D258" t="inlineStr">
        <is>
          <t>SÖDERMANLANDS LÄN</t>
        </is>
      </c>
      <c r="E258" t="inlineStr">
        <is>
          <t>STRÄNGNÄS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57484-2025</t>
        </is>
      </c>
      <c r="B259" s="1" t="n">
        <v>45980</v>
      </c>
      <c r="C259" s="1" t="n">
        <v>46190</v>
      </c>
      <c r="D259" t="inlineStr">
        <is>
          <t>SÖDERMANLANDS LÄN</t>
        </is>
      </c>
      <c r="E259" t="inlineStr">
        <is>
          <t>STRÄNGNÄS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45669-2022</t>
        </is>
      </c>
      <c r="B260" s="1" t="n">
        <v>44845.73668981482</v>
      </c>
      <c r="C260" s="1" t="n">
        <v>46190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Kyrkan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10346-2023</t>
        </is>
      </c>
      <c r="B261" s="1" t="n">
        <v>44987</v>
      </c>
      <c r="C261" s="1" t="n">
        <v>46190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4151-2026</t>
        </is>
      </c>
      <c r="B262" s="1" t="n">
        <v>46044.6487037037</v>
      </c>
      <c r="C262" s="1" t="n">
        <v>46190</v>
      </c>
      <c r="D262" t="inlineStr">
        <is>
          <t>SÖDERMANLANDS LÄN</t>
        </is>
      </c>
      <c r="E262" t="inlineStr">
        <is>
          <t>STRÄNGNÄS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4112-2026</t>
        </is>
      </c>
      <c r="B263" s="1" t="n">
        <v>46044.59863425926</v>
      </c>
      <c r="C263" s="1" t="n">
        <v>46190</v>
      </c>
      <c r="D263" t="inlineStr">
        <is>
          <t>SÖDERMANLANDS LÄN</t>
        </is>
      </c>
      <c r="E263" t="inlineStr">
        <is>
          <t>STRÄNGNÄS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3971-2026</t>
        </is>
      </c>
      <c r="B264" s="1" t="n">
        <v>46044.35240740741</v>
      </c>
      <c r="C264" s="1" t="n">
        <v>46190</v>
      </c>
      <c r="D264" t="inlineStr">
        <is>
          <t>SÖDERMANLANDS LÄN</t>
        </is>
      </c>
      <c r="E264" t="inlineStr">
        <is>
          <t>STRÄNGNÄS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1977-2026</t>
        </is>
      </c>
      <c r="B265" s="1" t="n">
        <v>46035.65237268519</v>
      </c>
      <c r="C265" s="1" t="n">
        <v>46190</v>
      </c>
      <c r="D265" t="inlineStr">
        <is>
          <t>SÖDERMANLANDS LÄN</t>
        </is>
      </c>
      <c r="E265" t="inlineStr">
        <is>
          <t>STRÄNGNÄS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14847-2023</t>
        </is>
      </c>
      <c r="B266" s="1" t="n">
        <v>45014</v>
      </c>
      <c r="C266" s="1" t="n">
        <v>46190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50296-2021</t>
        </is>
      </c>
      <c r="B267" s="1" t="n">
        <v>44459</v>
      </c>
      <c r="C267" s="1" t="n">
        <v>46190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36469-2023</t>
        </is>
      </c>
      <c r="B268" s="1" t="n">
        <v>45152</v>
      </c>
      <c r="C268" s="1" t="n">
        <v>46190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Sveaskog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3733-2026</t>
        </is>
      </c>
      <c r="B269" s="1" t="n">
        <v>46043</v>
      </c>
      <c r="C269" s="1" t="n">
        <v>46190</v>
      </c>
      <c r="D269" t="inlineStr">
        <is>
          <t>SÖDERMANLANDS LÄN</t>
        </is>
      </c>
      <c r="E269" t="inlineStr">
        <is>
          <t>STRÄNGNÄS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52712-2025</t>
        </is>
      </c>
      <c r="B270" s="1" t="n">
        <v>45957.3075</v>
      </c>
      <c r="C270" s="1" t="n">
        <v>46190</v>
      </c>
      <c r="D270" t="inlineStr">
        <is>
          <t>SÖDERMANLANDS LÄN</t>
        </is>
      </c>
      <c r="E270" t="inlineStr">
        <is>
          <t>STRÄNGNÄS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58241-2022</t>
        </is>
      </c>
      <c r="B271" s="1" t="n">
        <v>44901</v>
      </c>
      <c r="C271" s="1" t="n">
        <v>46190</v>
      </c>
      <c r="D271" t="inlineStr">
        <is>
          <t>SÖDERMANLANDS LÄN</t>
        </is>
      </c>
      <c r="E271" t="inlineStr">
        <is>
          <t>STRÄNGNÄS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53773-2025</t>
        </is>
      </c>
      <c r="B272" s="1" t="n">
        <v>45960.68623842593</v>
      </c>
      <c r="C272" s="1" t="n">
        <v>46190</v>
      </c>
      <c r="D272" t="inlineStr">
        <is>
          <t>SÖDERMANLANDS LÄN</t>
        </is>
      </c>
      <c r="E272" t="inlineStr">
        <is>
          <t>STRÄNGNÄS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46190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9942-2026</t>
        </is>
      </c>
      <c r="B274" s="1" t="n">
        <v>46073</v>
      </c>
      <c r="C274" s="1" t="n">
        <v>46190</v>
      </c>
      <c r="D274" t="inlineStr">
        <is>
          <t>SÖDERMANLANDS LÄN</t>
        </is>
      </c>
      <c r="E274" t="inlineStr">
        <is>
          <t>STRÄNGNÄS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10543-2026</t>
        </is>
      </c>
      <c r="B275" s="1" t="n">
        <v>46077.60916666667</v>
      </c>
      <c r="C275" s="1" t="n">
        <v>46190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10121-2026</t>
        </is>
      </c>
      <c r="B276" s="1" t="n">
        <v>46075.79707175926</v>
      </c>
      <c r="C276" s="1" t="n">
        <v>46190</v>
      </c>
      <c r="D276" t="inlineStr">
        <is>
          <t>SÖDERMANLANDS LÄN</t>
        </is>
      </c>
      <c r="E276" t="inlineStr">
        <is>
          <t>STRÄNGNÄS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9625-2022</t>
        </is>
      </c>
      <c r="B277" s="1" t="n">
        <v>44617</v>
      </c>
      <c r="C277" s="1" t="n">
        <v>46190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32552-2023</t>
        </is>
      </c>
      <c r="B278" s="1" t="n">
        <v>45121</v>
      </c>
      <c r="C278" s="1" t="n">
        <v>46190</v>
      </c>
      <c r="D278" t="inlineStr">
        <is>
          <t>SÖDERMANLANDS LÄN</t>
        </is>
      </c>
      <c r="E278" t="inlineStr">
        <is>
          <t>STRÄNGNÄS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10770-2026</t>
        </is>
      </c>
      <c r="B279" s="1" t="n">
        <v>46078.56915509259</v>
      </c>
      <c r="C279" s="1" t="n">
        <v>46190</v>
      </c>
      <c r="D279" t="inlineStr">
        <is>
          <t>SÖDERMANLANDS LÄN</t>
        </is>
      </c>
      <c r="E279" t="inlineStr">
        <is>
          <t>STRÄNGNÄS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61656-2023</t>
        </is>
      </c>
      <c r="B280" s="1" t="n">
        <v>45265.58905092593</v>
      </c>
      <c r="C280" s="1" t="n">
        <v>46190</v>
      </c>
      <c r="D280" t="inlineStr">
        <is>
          <t>SÖDERMANLANDS LÄN</t>
        </is>
      </c>
      <c r="E280" t="inlineStr">
        <is>
          <t>STRÄNGNÄS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12343-2026</t>
        </is>
      </c>
      <c r="B281" s="1" t="n">
        <v>46087.67140046296</v>
      </c>
      <c r="C281" s="1" t="n">
        <v>46190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58022-2022</t>
        </is>
      </c>
      <c r="B282" s="1" t="n">
        <v>44900</v>
      </c>
      <c r="C282" s="1" t="n">
        <v>46190</v>
      </c>
      <c r="D282" t="inlineStr">
        <is>
          <t>SÖDERMANLANDS LÄN</t>
        </is>
      </c>
      <c r="E282" t="inlineStr">
        <is>
          <t>STRÄNGNÄS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65151-2023</t>
        </is>
      </c>
      <c r="B283" s="1" t="n">
        <v>45288</v>
      </c>
      <c r="C283" s="1" t="n">
        <v>46190</v>
      </c>
      <c r="D283" t="inlineStr">
        <is>
          <t>SÖDERMANLANDS LÄN</t>
        </is>
      </c>
      <c r="E283" t="inlineStr">
        <is>
          <t>STRÄNGNÄS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4320-2023</t>
        </is>
      </c>
      <c r="B284" s="1" t="n">
        <v>44953</v>
      </c>
      <c r="C284" s="1" t="n">
        <v>46190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9397-2026</t>
        </is>
      </c>
      <c r="B285" s="1" t="n">
        <v>46070</v>
      </c>
      <c r="C285" s="1" t="n">
        <v>46190</v>
      </c>
      <c r="D285" t="inlineStr">
        <is>
          <t>SÖDERMANLANDS LÄN</t>
        </is>
      </c>
      <c r="E285" t="inlineStr">
        <is>
          <t>STRÄNGNÄS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20167-2023</t>
        </is>
      </c>
      <c r="B286" s="1" t="n">
        <v>45051</v>
      </c>
      <c r="C286" s="1" t="n">
        <v>46190</v>
      </c>
      <c r="D286" t="inlineStr">
        <is>
          <t>SÖDERMANLANDS LÄN</t>
        </is>
      </c>
      <c r="E286" t="inlineStr">
        <is>
          <t>STRÄNGNÄS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52997-2025</t>
        </is>
      </c>
      <c r="B287" s="1" t="n">
        <v>45957</v>
      </c>
      <c r="C287" s="1" t="n">
        <v>46190</v>
      </c>
      <c r="D287" t="inlineStr">
        <is>
          <t>SÖDERMANLANDS LÄN</t>
        </is>
      </c>
      <c r="E287" t="inlineStr">
        <is>
          <t>STRÄNGNÄS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HYPERLINK("https://klasma.github.io/Logging_0486/knärot/A 52997-2025 karta knärot.png", "A 52997-2025")</f>
        <v/>
      </c>
      <c r="V287">
        <f>HYPERLINK("https://klasma.github.io/Logging_0486/klagomål/A 52997-2025 FSC-klagomål.docx", "A 52997-2025")</f>
        <v/>
      </c>
      <c r="W287">
        <f>HYPERLINK("https://klasma.github.io/Logging_0486/klagomålsmail/A 52997-2025 FSC-klagomål mail.docx", "A 52997-2025")</f>
        <v/>
      </c>
      <c r="X287">
        <f>HYPERLINK("https://klasma.github.io/Logging_0486/tillsyn/A 52997-2025 tillsynsbegäran.docx", "A 52997-2025")</f>
        <v/>
      </c>
      <c r="Y287">
        <f>HYPERLINK("https://klasma.github.io/Logging_0486/tillsynsmail/A 52997-2025 tillsynsbegäran mail.docx", "A 52997-2025")</f>
        <v/>
      </c>
    </row>
    <row r="288" ht="15" customHeight="1">
      <c r="A288" t="inlineStr">
        <is>
          <t>A 52998-2025</t>
        </is>
      </c>
      <c r="B288" s="1" t="n">
        <v>45957</v>
      </c>
      <c r="C288" s="1" t="n">
        <v>46190</v>
      </c>
      <c r="D288" t="inlineStr">
        <is>
          <t>SÖDERMANLANDS LÄN</t>
        </is>
      </c>
      <c r="E288" t="inlineStr">
        <is>
          <t>STRÄNGNÄS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59294-2025</t>
        </is>
      </c>
      <c r="B289" s="1" t="n">
        <v>45988</v>
      </c>
      <c r="C289" s="1" t="n">
        <v>46190</v>
      </c>
      <c r="D289" t="inlineStr">
        <is>
          <t>SÖDERMANLANDS LÄN</t>
        </is>
      </c>
      <c r="E289" t="inlineStr">
        <is>
          <t>STRÄNGNÄS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12619-2025</t>
        </is>
      </c>
      <c r="B290" s="1" t="n">
        <v>45733.35274305556</v>
      </c>
      <c r="C290" s="1" t="n">
        <v>46190</v>
      </c>
      <c r="D290" t="inlineStr">
        <is>
          <t>SÖDERMANLANDS LÄN</t>
        </is>
      </c>
      <c r="E290" t="inlineStr">
        <is>
          <t>STRÄNGNÄS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48827-2023</t>
        </is>
      </c>
      <c r="B291" s="1" t="n">
        <v>45204</v>
      </c>
      <c r="C291" s="1" t="n">
        <v>46190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60749-2021</t>
        </is>
      </c>
      <c r="B292" s="1" t="n">
        <v>44496.90982638889</v>
      </c>
      <c r="C292" s="1" t="n">
        <v>46190</v>
      </c>
      <c r="D292" t="inlineStr">
        <is>
          <t>SÖDERMANLANDS LÄN</t>
        </is>
      </c>
      <c r="E292" t="inlineStr">
        <is>
          <t>STRÄNGNÄS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20506-2022</t>
        </is>
      </c>
      <c r="B293" s="1" t="n">
        <v>44699.85752314814</v>
      </c>
      <c r="C293" s="1" t="n">
        <v>46190</v>
      </c>
      <c r="D293" t="inlineStr">
        <is>
          <t>SÖDERMANLANDS LÄN</t>
        </is>
      </c>
      <c r="E293" t="inlineStr">
        <is>
          <t>STRÄNGNÄS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42476-2022</t>
        </is>
      </c>
      <c r="B294" s="1" t="n">
        <v>44831</v>
      </c>
      <c r="C294" s="1" t="n">
        <v>46190</v>
      </c>
      <c r="D294" t="inlineStr">
        <is>
          <t>SÖDERMANLANDS LÄN</t>
        </is>
      </c>
      <c r="E294" t="inlineStr">
        <is>
          <t>STRÄNGNÄS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42503-2022</t>
        </is>
      </c>
      <c r="B295" s="1" t="n">
        <v>44831</v>
      </c>
      <c r="C295" s="1" t="n">
        <v>46190</v>
      </c>
      <c r="D295" t="inlineStr">
        <is>
          <t>SÖDERMANLANDS LÄN</t>
        </is>
      </c>
      <c r="E295" t="inlineStr">
        <is>
          <t>STRÄNGNÄS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22577-2026</t>
        </is>
      </c>
      <c r="B296" s="1" t="n">
        <v>46155.56913194444</v>
      </c>
      <c r="C296" s="1" t="n">
        <v>46190</v>
      </c>
      <c r="D296" t="inlineStr">
        <is>
          <t>SÖDERMANLANDS LÄN</t>
        </is>
      </c>
      <c r="E296" t="inlineStr">
        <is>
          <t>STRÄNGNÄS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9704-2022</t>
        </is>
      </c>
      <c r="B297" s="1" t="n">
        <v>44617.6911574074</v>
      </c>
      <c r="C297" s="1" t="n">
        <v>46190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9232-2023</t>
        </is>
      </c>
      <c r="B298" s="1" t="n">
        <v>44980</v>
      </c>
      <c r="C298" s="1" t="n">
        <v>46190</v>
      </c>
      <c r="D298" t="inlineStr">
        <is>
          <t>SÖDERMANLANDS LÄN</t>
        </is>
      </c>
      <c r="E298" t="inlineStr">
        <is>
          <t>STRÄNGNÄS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866-2023</t>
        </is>
      </c>
      <c r="B299" s="1" t="n">
        <v>44931.63733796297</v>
      </c>
      <c r="C299" s="1" t="n">
        <v>46190</v>
      </c>
      <c r="D299" t="inlineStr">
        <is>
          <t>SÖDERMANLANDS LÄN</t>
        </is>
      </c>
      <c r="E299" t="inlineStr">
        <is>
          <t>STRÄNGNÄS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58092-2023</t>
        </is>
      </c>
      <c r="B300" s="1" t="n">
        <v>45248</v>
      </c>
      <c r="C300" s="1" t="n">
        <v>46190</v>
      </c>
      <c r="D300" t="inlineStr">
        <is>
          <t>SÖDERMANLANDS LÄN</t>
        </is>
      </c>
      <c r="E300" t="inlineStr">
        <is>
          <t>STRÄNGNÄS</t>
        </is>
      </c>
      <c r="G300" t="n">
        <v>28.5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54598-2022</t>
        </is>
      </c>
      <c r="B301" s="1" t="n">
        <v>44881</v>
      </c>
      <c r="C301" s="1" t="n">
        <v>46190</v>
      </c>
      <c r="D301" t="inlineStr">
        <is>
          <t>SÖDERMANLANDS LÄN</t>
        </is>
      </c>
      <c r="E301" t="inlineStr">
        <is>
          <t>STRÄNGNÄS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23995-2026</t>
        </is>
      </c>
      <c r="B302" s="1" t="n">
        <v>46167.62565972222</v>
      </c>
      <c r="C302" s="1" t="n">
        <v>46190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23961-2026</t>
        </is>
      </c>
      <c r="B303" s="1" t="n">
        <v>46167.57811342592</v>
      </c>
      <c r="C303" s="1" t="n">
        <v>46190</v>
      </c>
      <c r="D303" t="inlineStr">
        <is>
          <t>SÖDERMANLANDS LÄN</t>
        </is>
      </c>
      <c r="E303" t="inlineStr">
        <is>
          <t>STRÄNGNÄS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56914-2022</t>
        </is>
      </c>
      <c r="B304" s="1" t="n">
        <v>44894</v>
      </c>
      <c r="C304" s="1" t="n">
        <v>46190</v>
      </c>
      <c r="D304" t="inlineStr">
        <is>
          <t>SÖDERMANLANDS LÄN</t>
        </is>
      </c>
      <c r="E304" t="inlineStr">
        <is>
          <t>STRÄNGNÄS</t>
        </is>
      </c>
      <c r="G304" t="n">
        <v>13.2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33343-2023</t>
        </is>
      </c>
      <c r="B305" s="1" t="n">
        <v>45128</v>
      </c>
      <c r="C305" s="1" t="n">
        <v>46190</v>
      </c>
      <c r="D305" t="inlineStr">
        <is>
          <t>SÖDERMANLANDS LÄN</t>
        </is>
      </c>
      <c r="E305" t="inlineStr">
        <is>
          <t>STRÄNGNÄS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24683-2026</t>
        </is>
      </c>
      <c r="B306" s="1" t="n">
        <v>46171.46107638889</v>
      </c>
      <c r="C306" s="1" t="n">
        <v>46190</v>
      </c>
      <c r="D306" t="inlineStr">
        <is>
          <t>SÖDERMANLANDS LÄN</t>
        </is>
      </c>
      <c r="E306" t="inlineStr">
        <is>
          <t>STRÄNGNÄS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18971-2026</t>
        </is>
      </c>
      <c r="B307" s="1" t="n">
        <v>46129.60802083334</v>
      </c>
      <c r="C307" s="1" t="n">
        <v>46190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25542-2023</t>
        </is>
      </c>
      <c r="B308" s="1" t="n">
        <v>45089</v>
      </c>
      <c r="C308" s="1" t="n">
        <v>46190</v>
      </c>
      <c r="D308" t="inlineStr">
        <is>
          <t>SÖDERMANLANDS LÄN</t>
        </is>
      </c>
      <c r="E308" t="inlineStr">
        <is>
          <t>STRÄNGNÄS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18965-2026</t>
        </is>
      </c>
      <c r="B309" s="1" t="n">
        <v>46129.59957175926</v>
      </c>
      <c r="C309" s="1" t="n">
        <v>46190</v>
      </c>
      <c r="D309" t="inlineStr">
        <is>
          <t>SÖDERMANLANDS LÄN</t>
        </is>
      </c>
      <c r="E309" t="inlineStr">
        <is>
          <t>STRÄNGNÄS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18904-2026</t>
        </is>
      </c>
      <c r="B310" s="1" t="n">
        <v>46129.50096064815</v>
      </c>
      <c r="C310" s="1" t="n">
        <v>46190</v>
      </c>
      <c r="D310" t="inlineStr">
        <is>
          <t>SÖDERMANLANDS LÄN</t>
        </is>
      </c>
      <c r="E310" t="inlineStr">
        <is>
          <t>STRÄNGNÄS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18961-2026</t>
        </is>
      </c>
      <c r="B311" s="1" t="n">
        <v>46129.59612268519</v>
      </c>
      <c r="C311" s="1" t="n">
        <v>46190</v>
      </c>
      <c r="D311" t="inlineStr">
        <is>
          <t>SÖDERMANLANDS LÄN</t>
        </is>
      </c>
      <c r="E311" t="inlineStr">
        <is>
          <t>STRÄNGNÄS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24680-2026</t>
        </is>
      </c>
      <c r="B312" s="1" t="n">
        <v>46171.45887731481</v>
      </c>
      <c r="C312" s="1" t="n">
        <v>46190</v>
      </c>
      <c r="D312" t="inlineStr">
        <is>
          <t>SÖDERMANLANDS LÄN</t>
        </is>
      </c>
      <c r="E312" t="inlineStr">
        <is>
          <t>STRÄNGNÄS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24688-2026</t>
        </is>
      </c>
      <c r="B313" s="1" t="n">
        <v>46171.47784722222</v>
      </c>
      <c r="C313" s="1" t="n">
        <v>46190</v>
      </c>
      <c r="D313" t="inlineStr">
        <is>
          <t>SÖDERMANLANDS LÄN</t>
        </is>
      </c>
      <c r="E313" t="inlineStr">
        <is>
          <t>STRÄNGNÄS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24691-2026</t>
        </is>
      </c>
      <c r="B314" s="1" t="n">
        <v>46171.4815625</v>
      </c>
      <c r="C314" s="1" t="n">
        <v>46190</v>
      </c>
      <c r="D314" t="inlineStr">
        <is>
          <t>SÖDERMANLANDS LÄN</t>
        </is>
      </c>
      <c r="E314" t="inlineStr">
        <is>
          <t>STRÄNGNÄS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22459-2022</t>
        </is>
      </c>
      <c r="B315" s="1" t="n">
        <v>44713</v>
      </c>
      <c r="C315" s="1" t="n">
        <v>46190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24694-2026</t>
        </is>
      </c>
      <c r="B316" s="1" t="n">
        <v>46171.4859375</v>
      </c>
      <c r="C316" s="1" t="n">
        <v>46190</v>
      </c>
      <c r="D316" t="inlineStr">
        <is>
          <t>SÖDERMANLANDS LÄN</t>
        </is>
      </c>
      <c r="E316" t="inlineStr">
        <is>
          <t>STRÄNGNÄS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44618-2023</t>
        </is>
      </c>
      <c r="B317" s="1" t="n">
        <v>45189.63930555555</v>
      </c>
      <c r="C317" s="1" t="n">
        <v>46190</v>
      </c>
      <c r="D317" t="inlineStr">
        <is>
          <t>SÖDERMANLANDS LÄN</t>
        </is>
      </c>
      <c r="E317" t="inlineStr">
        <is>
          <t>STRÄNGNÄS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15193-2023</t>
        </is>
      </c>
      <c r="B318" s="1" t="n">
        <v>45016</v>
      </c>
      <c r="C318" s="1" t="n">
        <v>46190</v>
      </c>
      <c r="D318" t="inlineStr">
        <is>
          <t>SÖDERMANLANDS LÄN</t>
        </is>
      </c>
      <c r="E318" t="inlineStr">
        <is>
          <t>STRÄNGNÄS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25077-2026</t>
        </is>
      </c>
      <c r="B319" s="1" t="n">
        <v>46174.7487962963</v>
      </c>
      <c r="C319" s="1" t="n">
        <v>46190</v>
      </c>
      <c r="D319" t="inlineStr">
        <is>
          <t>SÖDERMANLANDS LÄN</t>
        </is>
      </c>
      <c r="E319" t="inlineStr">
        <is>
          <t>STRÄNGNÄS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20815-2023</t>
        </is>
      </c>
      <c r="B320" s="1" t="n">
        <v>45058</v>
      </c>
      <c r="C320" s="1" t="n">
        <v>46190</v>
      </c>
      <c r="D320" t="inlineStr">
        <is>
          <t>SÖDERMANLANDS LÄN</t>
        </is>
      </c>
      <c r="E320" t="inlineStr">
        <is>
          <t>STRÄNGNÄS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3759-2025</t>
        </is>
      </c>
      <c r="B321" s="1" t="n">
        <v>45681.59104166667</v>
      </c>
      <c r="C321" s="1" t="n">
        <v>46190</v>
      </c>
      <c r="D321" t="inlineStr">
        <is>
          <t>SÖDERMANLANDS LÄN</t>
        </is>
      </c>
      <c r="E321" t="inlineStr">
        <is>
          <t>STRÄNGNÄS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3761-2025</t>
        </is>
      </c>
      <c r="B322" s="1" t="n">
        <v>45681</v>
      </c>
      <c r="C322" s="1" t="n">
        <v>46190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4115-2025</t>
        </is>
      </c>
      <c r="B323" s="1" t="n">
        <v>45684.71832175926</v>
      </c>
      <c r="C323" s="1" t="n">
        <v>46190</v>
      </c>
      <c r="D323" t="inlineStr">
        <is>
          <t>SÖDERMANLANDS LÄN</t>
        </is>
      </c>
      <c r="E323" t="inlineStr">
        <is>
          <t>STRÄNGNÄS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8493-2022</t>
        </is>
      </c>
      <c r="B324" s="1" t="n">
        <v>44613.38766203704</v>
      </c>
      <c r="C324" s="1" t="n">
        <v>46190</v>
      </c>
      <c r="D324" t="inlineStr">
        <is>
          <t>SÖDERMANLANDS LÄN</t>
        </is>
      </c>
      <c r="E324" t="inlineStr">
        <is>
          <t>STRÄNGNÄS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72270-2021</t>
        </is>
      </c>
      <c r="B325" s="1" t="n">
        <v>44545</v>
      </c>
      <c r="C325" s="1" t="n">
        <v>46190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33321-2021</t>
        </is>
      </c>
      <c r="B326" s="1" t="n">
        <v>44377</v>
      </c>
      <c r="C326" s="1" t="n">
        <v>46190</v>
      </c>
      <c r="D326" t="inlineStr">
        <is>
          <t>SÖDERMANLANDS LÄN</t>
        </is>
      </c>
      <c r="E326" t="inlineStr">
        <is>
          <t>STRÄNGNÄS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56984-2024</t>
        </is>
      </c>
      <c r="B327" s="1" t="n">
        <v>45628.691875</v>
      </c>
      <c r="C327" s="1" t="n">
        <v>46190</v>
      </c>
      <c r="D327" t="inlineStr">
        <is>
          <t>SÖDERMANLANDS LÄN</t>
        </is>
      </c>
      <c r="E327" t="inlineStr">
        <is>
          <t>STRÄNGNÄS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56989-2024</t>
        </is>
      </c>
      <c r="B328" s="1" t="n">
        <v>45628.69885416667</v>
      </c>
      <c r="C328" s="1" t="n">
        <v>46190</v>
      </c>
      <c r="D328" t="inlineStr">
        <is>
          <t>SÖDERMANLANDS LÄN</t>
        </is>
      </c>
      <c r="E328" t="inlineStr">
        <is>
          <t>STRÄNGNÄS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56988-2024</t>
        </is>
      </c>
      <c r="B329" s="1" t="n">
        <v>45628.69844907407</v>
      </c>
      <c r="C329" s="1" t="n">
        <v>46190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20187-2026</t>
        </is>
      </c>
      <c r="B330" s="1" t="n">
        <v>46139.36748842592</v>
      </c>
      <c r="C330" s="1" t="n">
        <v>46190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Allmännings- och besparingsskogar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40605-2025</t>
        </is>
      </c>
      <c r="B331" s="1" t="n">
        <v>45896</v>
      </c>
      <c r="C331" s="1" t="n">
        <v>46190</v>
      </c>
      <c r="D331" t="inlineStr">
        <is>
          <t>SÖDERMANLANDS LÄN</t>
        </is>
      </c>
      <c r="E331" t="inlineStr">
        <is>
          <t>STRÄNGNÄS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2026-06-17T09:23:13Z</dcterms:created>
  <dcterms:modified xmlns:dcterms="http://purl.org/dc/terms/" xmlns:xsi="http://www.w3.org/2001/XMLSchema-instance" xsi:type="dcterms:W3CDTF">2026-06-17T09:23:13Z</dcterms:modified>
</cp:coreProperties>
</file>