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45804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45804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45804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45804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11569-2024</t>
        </is>
      </c>
      <c r="B6" s="1" t="n">
        <v>45373</v>
      </c>
      <c r="C6" s="1" t="n">
        <v>45804</v>
      </c>
      <c r="D6" t="inlineStr">
        <is>
          <t>SÖDERMANLANDS LÄN</t>
        </is>
      </c>
      <c r="E6" t="inlineStr">
        <is>
          <t>STRÄNGNÄS</t>
        </is>
      </c>
      <c r="G6" t="n">
        <v>6.5</v>
      </c>
      <c r="H6" t="n">
        <v>6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Knärot
Motaggsvamp
Spillkråka
Blåmossa
Granbarkgnagare
Mindre märgborre
Spindelblomster
Fläcknycklar
Mattlummer
Revlummer</t>
        </is>
      </c>
      <c r="S6">
        <f>HYPERLINK("https://klasma.github.io/Logging_0486/artfynd/A 11569-2024 artfynd.xlsx", "A 11569-2024")</f>
        <v/>
      </c>
      <c r="T6">
        <f>HYPERLINK("https://klasma.github.io/Logging_0486/kartor/A 11569-2024 karta.png", "A 11569-2024")</f>
        <v/>
      </c>
      <c r="U6">
        <f>HYPERLINK("https://klasma.github.io/Logging_0486/knärot/A 11569-2024 karta knärot.png", "A 11569-2024")</f>
        <v/>
      </c>
      <c r="V6">
        <f>HYPERLINK("https://klasma.github.io/Logging_0486/klagomål/A 11569-2024 FSC-klagomål.docx", "A 11569-2024")</f>
        <v/>
      </c>
      <c r="W6">
        <f>HYPERLINK("https://klasma.github.io/Logging_0486/klagomålsmail/A 11569-2024 FSC-klagomål mail.docx", "A 11569-2024")</f>
        <v/>
      </c>
      <c r="X6">
        <f>HYPERLINK("https://klasma.github.io/Logging_0486/tillsyn/A 11569-2024 tillsynsbegäran.docx", "A 11569-2024")</f>
        <v/>
      </c>
      <c r="Y6">
        <f>HYPERLINK("https://klasma.github.io/Logging_0486/tillsynsmail/A 11569-2024 tillsynsbegäran mail.docx", "A 11569-2024")</f>
        <v/>
      </c>
      <c r="Z6">
        <f>HYPERLINK("https://klasma.github.io/Logging_0486/fåglar/A 11569-2024 prioriterade fågelarter.docx", "A 11569-2024")</f>
        <v/>
      </c>
    </row>
    <row r="7" ht="15" customHeight="1">
      <c r="A7" t="inlineStr">
        <is>
          <t>A 42577-2023</t>
        </is>
      </c>
      <c r="B7" s="1" t="n">
        <v>45181</v>
      </c>
      <c r="C7" s="1" t="n">
        <v>45804</v>
      </c>
      <c r="D7" t="inlineStr">
        <is>
          <t>SÖDERMANLANDS LÄN</t>
        </is>
      </c>
      <c r="E7" t="inlineStr">
        <is>
          <t>STRÄNGNÄS</t>
        </is>
      </c>
      <c r="G7" t="n">
        <v>4.9</v>
      </c>
      <c r="H7" t="n">
        <v>9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Entita
Grönsångare
Mindre hackspett
Spillkråka
Svartvit flugsnappare
Talltita
Bivråk
Orre
Tjäder</t>
        </is>
      </c>
      <c r="S7">
        <f>HYPERLINK("https://klasma.github.io/Logging_0486/artfynd/A 42577-2023 artfynd.xlsx", "A 42577-2023")</f>
        <v/>
      </c>
      <c r="T7">
        <f>HYPERLINK("https://klasma.github.io/Logging_0486/kartor/A 42577-2023 karta.png", "A 42577-2023")</f>
        <v/>
      </c>
      <c r="V7">
        <f>HYPERLINK("https://klasma.github.io/Logging_0486/klagomål/A 42577-2023 FSC-klagomål.docx", "A 42577-2023")</f>
        <v/>
      </c>
      <c r="W7">
        <f>HYPERLINK("https://klasma.github.io/Logging_0486/klagomålsmail/A 42577-2023 FSC-klagomål mail.docx", "A 42577-2023")</f>
        <v/>
      </c>
      <c r="X7">
        <f>HYPERLINK("https://klasma.github.io/Logging_0486/tillsyn/A 42577-2023 tillsynsbegäran.docx", "A 42577-2023")</f>
        <v/>
      </c>
      <c r="Y7">
        <f>HYPERLINK("https://klasma.github.io/Logging_0486/tillsynsmail/A 42577-2023 tillsynsbegäran mail.docx", "A 42577-2023")</f>
        <v/>
      </c>
      <c r="Z7">
        <f>HYPERLINK("https://klasma.github.io/Logging_0486/fåglar/A 42577-2023 prioriterade fågelarter.docx", "A 42577-2023")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45804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Knärot
Motaggsvamp
Nordfladdermus
Orange taggsvamp
Spillkråka
Blomkålssvamp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45804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45804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45804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45804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45804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45804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45804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45804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45804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45804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45804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45804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45804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45804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45804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45804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45804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45804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45804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45804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45804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45804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45804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45804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45804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45804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45804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45804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45804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45804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45804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45804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45804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45804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45804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45804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45804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45804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45804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45804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45804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45804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45804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45804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45804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45804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45804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45804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45804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45804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45804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45804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45804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45804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45804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45804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45804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45804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45804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45804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45804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45804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45804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45804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45804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45804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45804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45804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45804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45804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45804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45804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45804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45804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45804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45804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45804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45804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45804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45804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45804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45804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45804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45804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45804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45804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45804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45804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45804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45804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45804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45804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45804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45804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45804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45804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45804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45804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45804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45804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45804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45804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45804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45804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45804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45804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45804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45804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45804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45804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45804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45804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45804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45804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45804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45804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45804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45804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45804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45804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45804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45804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45804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45804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45804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45804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45804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45804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45804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45804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45804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45804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45804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45804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45804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45804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45804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45804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45804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45804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45804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45804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45804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45804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45804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45804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45804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45804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45804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45804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45804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45804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45804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45804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45804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45804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45804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45804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45804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45804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45804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45804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45804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45804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45804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45804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45804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45804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45804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45804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45804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45804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45804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45804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45804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45804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45804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45804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45804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45804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45804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45804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45804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45804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45804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45804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45804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45804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45804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45804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45804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45804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45804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45804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45804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45804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45804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45804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45804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45804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45804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45804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45804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45804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45804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45804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45804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45804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45804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45804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45804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45804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45804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45804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45804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45804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45804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45804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45804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45804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45804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45804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45804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45804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45804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45804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45804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45804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45804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45804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45804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45804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45804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45804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45804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45804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45804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45804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45804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45804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45804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45804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45804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45804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45804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45804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45804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45804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45804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45804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45804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45804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45804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45804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45804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45804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45804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45804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45804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45804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45804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45804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45804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45804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45804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45804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45804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45804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45804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45804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45804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45804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45804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45804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45804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45804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45804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45804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45804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45804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45804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45804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45804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45804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45804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45804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45804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45804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45804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45804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45804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45804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45804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45804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45804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45804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45804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45804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45804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45804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45804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45804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45804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45804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45804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45804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45804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45804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45804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45804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45804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45804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45804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45804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45804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45804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45804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45804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45804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45804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45804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45804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45804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45804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45804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45804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45804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45804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45804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45804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45804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45804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45804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45804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45804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45804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45804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45804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45804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45804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45804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45804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45804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45804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45804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45804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45804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45804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45804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45804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45804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45804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45804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45804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45804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45804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45804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45804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45804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45804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45804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45804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45804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45804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45804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45804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45804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45804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45804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45804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45804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45804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45804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45804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45804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45804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45804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45804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45804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45804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45804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45804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45804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45804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45804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45804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45804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45804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45804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45804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45804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45804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45804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45804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45804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45804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45804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45804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45804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45804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45804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45804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45804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45804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45804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45804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45804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45804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45804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45804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45804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45804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45804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45804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45804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45804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45804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45804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45804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45804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45804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45804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45804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45804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45804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45804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45804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45804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45804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45804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45804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45804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45804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45804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45804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45804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45804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45804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45804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45804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45804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45804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45804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45804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45804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45804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45804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45804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45804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45804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45804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45804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45804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45804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45804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45804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45804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45804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45804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45804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45804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45804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45804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45804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45804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45804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45804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45804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45804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45804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45804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45804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45804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45804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45804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45804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45804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45804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45804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45804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45804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45804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45804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45804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45804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45804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45804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45804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45804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45804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45804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45804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45804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45804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45804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45804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45804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45804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45804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45804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45804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45804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45804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45804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45804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45804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45804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45804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45804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45804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45804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45804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45804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45804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45804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45804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45804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45804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45804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45804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45804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45804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45804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45804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45804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45804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45804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45804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45804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45804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45804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45804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45804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45804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45804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45804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45804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45804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45804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45804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45804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45804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45804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45804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45804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45804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45804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45804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45804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45804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45804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45804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45804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45804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45804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45804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45804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45804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45804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45804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45804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45804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45804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45804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45804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45804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45804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45804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45804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45804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45804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45804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45804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45804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45804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45804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45804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45804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45804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45804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45804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45804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45804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45804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45804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45804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45804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45804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45804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45804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45804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45804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45804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45804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45804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45804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45804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45804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45804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45804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45804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45804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45804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45804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45804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45804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45804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45804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45804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45804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45804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45804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45804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45804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45804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45804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45804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45804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45804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45804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45804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45804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45804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45804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45804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45804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45804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45804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45804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45804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45804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45804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45804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45804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45804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45804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45804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45804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24823-2025</t>
        </is>
      </c>
      <c r="B647" s="1" t="n">
        <v>45799</v>
      </c>
      <c r="C647" s="1" t="n">
        <v>45804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25685-2025</t>
        </is>
      </c>
      <c r="B648" s="1" t="n">
        <v>45803</v>
      </c>
      <c r="C648" s="1" t="n">
        <v>45804</v>
      </c>
      <c r="D648" t="inlineStr">
        <is>
          <t>SÖDERMANLANDS LÄN</t>
        </is>
      </c>
      <c r="E648" t="inlineStr">
        <is>
          <t>STRÄNGNÄS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25729-2025</t>
        </is>
      </c>
      <c r="B649" s="1" t="n">
        <v>45803</v>
      </c>
      <c r="C649" s="1" t="n">
        <v>45804</v>
      </c>
      <c r="D649" t="inlineStr">
        <is>
          <t>SÖDERMANLANDS LÄN</t>
        </is>
      </c>
      <c r="E649" t="inlineStr">
        <is>
          <t>STRÄNGNÄS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2025-05-27T17:50:17Z</dcterms:created>
  <dcterms:modified xmlns:dcterms="http://purl.org/dc/terms/" xmlns:xsi="http://www.w3.org/2001/XMLSchema-instance" xsi:type="dcterms:W3CDTF">2025-05-27T17:50:18Z</dcterms:modified>
</cp:coreProperties>
</file>