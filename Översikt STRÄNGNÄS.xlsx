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46218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46218</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s="2" t="inlineStr">
        <is>
          <t>Grönfink
Stare
Tofsvipa
Tornseglare
Björktrast
Entita
Gulsparv
Ladusvala
Mindre hackspett
Rödvingetrast
Rörsångare
Skrattmås
Sädesärla
Fiskgjuse
Gröngöling
Grönsiska
Havsörn
Kråka
Kungsfågel
Näktergal
Svartvit flugsnappare</t>
        </is>
      </c>
      <c r="V3">
        <f>HYPERLINK("https://klasma.github.io/Logging_0486/artfynd/A 3784-2025 artfynd.xlsx", "A 3784-2025")</f>
        <v/>
      </c>
      <c r="W3">
        <f>HYPERLINK("https://klasma.github.io/Logging_0486/kartor/A 3784-2025 karta.png", "A 3784-2025")</f>
        <v/>
      </c>
      <c r="Y3">
        <f>HYPERLINK("https://klasma.github.io/Logging_0486/klagomål/A 3784-2025 FSC-klagomål.docx", "A 3784-2025")</f>
        <v/>
      </c>
      <c r="Z3">
        <f>HYPERLINK("https://klasma.github.io/Logging_0486/klagomålsmail/A 3784-2025 FSC-klagomål mail.docx", "A 3784-2025")</f>
        <v/>
      </c>
      <c r="AA3">
        <f>HYPERLINK("https://klasma.github.io/Logging_0486/tillsyn/A 3784-2025 tillsynsbegäran.docx", "A 3784-2025")</f>
        <v/>
      </c>
      <c r="AB3">
        <f>HYPERLINK("https://klasma.github.io/Logging_0486/tillsynsmail/A 3784-2025 tillsynsbegäran mail.docx", "A 3784-2025")</f>
        <v/>
      </c>
      <c r="AC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46218</v>
      </c>
      <c r="F4" t="inlineStr">
        <is>
          <t>SÖDERMANLANDS LÄN</t>
        </is>
      </c>
      <c r="G4" t="inlineStr">
        <is>
          <t>STRÄNGNÄS</t>
        </is>
      </c>
      <c r="I4" t="n">
        <v>1</v>
      </c>
      <c r="J4" t="n">
        <v>18</v>
      </c>
      <c r="K4" t="n">
        <v>0</v>
      </c>
      <c r="L4" t="n">
        <v>3</v>
      </c>
      <c r="M4" t="n">
        <v>3</v>
      </c>
      <c r="N4" t="n">
        <v>1</v>
      </c>
      <c r="O4" t="n">
        <v>0</v>
      </c>
      <c r="P4" t="n">
        <v>0</v>
      </c>
      <c r="Q4" t="n">
        <v>7</v>
      </c>
      <c r="R4" t="n">
        <v>4</v>
      </c>
      <c r="S4" t="n">
        <v>18</v>
      </c>
      <c r="T4" t="n">
        <v>18</v>
      </c>
      <c r="U4" s="2" t="inlineStr">
        <is>
          <t>Havstrut
Gråtrut
Grönfink
Tofsvipa
Entita
Gulsparv
Skrattmås
Spillkråka
Gröngöling
Grönsiska
Havsörn
Kråka
Salskrake
Skogsduva
Sävsparv
Sångsvan
Trana
Trädlärka</t>
        </is>
      </c>
      <c r="V4">
        <f>HYPERLINK("https://klasma.github.io/Logging_0486/artfynd/A 9237-2023 artfynd.xlsx", "A 9237-2023")</f>
        <v/>
      </c>
      <c r="W4">
        <f>HYPERLINK("https://klasma.github.io/Logging_0486/kartor/A 9237-2023 karta.png", "A 9237-2023")</f>
        <v/>
      </c>
      <c r="Y4">
        <f>HYPERLINK("https://klasma.github.io/Logging_0486/klagomål/A 9237-2023 FSC-klagomål.docx", "A 9237-2023")</f>
        <v/>
      </c>
      <c r="Z4">
        <f>HYPERLINK("https://klasma.github.io/Logging_0486/klagomålsmail/A 9237-2023 FSC-klagomål mail.docx", "A 9237-2023")</f>
        <v/>
      </c>
      <c r="AA4">
        <f>HYPERLINK("https://klasma.github.io/Logging_0486/tillsyn/A 9237-2023 tillsynsbegäran.docx", "A 9237-2023")</f>
        <v/>
      </c>
      <c r="AB4">
        <f>HYPERLINK("https://klasma.github.io/Logging_0486/tillsynsmail/A 9237-2023 tillsynsbegäran mail.docx", "A 9237-2023")</f>
        <v/>
      </c>
      <c r="AC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46218</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s="2" t="inlineStr">
        <is>
          <t>Backklöver
Grönsångare
Gulsparv
Rökfingersvamp
Silltrut
Skrattmås
Blodvaxing
Gråvaxing
Gulvaxing
Mindre märgborre
Småvaxing
Toppvaxing
Ängsfingersvamp
Ängsvaxing agg.
Gröngöling
Trana</t>
        </is>
      </c>
      <c r="V5">
        <f>HYPERLINK("https://klasma.github.io/Logging_0486/artfynd/A 41222-2025 artfynd.xlsx", "A 41222-2025")</f>
        <v/>
      </c>
      <c r="W5">
        <f>HYPERLINK("https://klasma.github.io/Logging_0486/kartor/A 41222-2025 karta.png", "A 41222-2025")</f>
        <v/>
      </c>
      <c r="Y5">
        <f>HYPERLINK("https://klasma.github.io/Logging_0486/klagomål/A 41222-2025 FSC-klagomål.docx", "A 41222-2025")</f>
        <v/>
      </c>
      <c r="Z5">
        <f>HYPERLINK("https://klasma.github.io/Logging_0486/klagomålsmail/A 41222-2025 FSC-klagomål mail.docx", "A 41222-2025")</f>
        <v/>
      </c>
      <c r="AA5">
        <f>HYPERLINK("https://klasma.github.io/Logging_0486/tillsyn/A 41222-2025 tillsynsbegäran.docx", "A 41222-2025")</f>
        <v/>
      </c>
      <c r="AB5">
        <f>HYPERLINK("https://klasma.github.io/Logging_0486/tillsynsmail/A 41222-2025 tillsynsbegäran mail.docx", "A 41222-2025")</f>
        <v/>
      </c>
      <c r="AC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46218</v>
      </c>
      <c r="F6" t="inlineStr">
        <is>
          <t>SÖDERMANLANDS LÄN</t>
        </is>
      </c>
      <c r="G6" t="inlineStr">
        <is>
          <t>STRÄNGNÄS</t>
        </is>
      </c>
      <c r="I6" t="n">
        <v>1.2</v>
      </c>
      <c r="J6" t="n">
        <v>6</v>
      </c>
      <c r="K6" t="n">
        <v>3</v>
      </c>
      <c r="L6" t="n">
        <v>2</v>
      </c>
      <c r="M6" t="n">
        <v>1</v>
      </c>
      <c r="N6" t="n">
        <v>0</v>
      </c>
      <c r="O6" t="n">
        <v>0</v>
      </c>
      <c r="P6" t="n">
        <v>0</v>
      </c>
      <c r="Q6" t="n">
        <v>3</v>
      </c>
      <c r="R6" t="n">
        <v>1</v>
      </c>
      <c r="S6" t="n">
        <v>13</v>
      </c>
      <c r="T6" t="n">
        <v>24</v>
      </c>
      <c r="U6" s="2" t="inlineStr">
        <is>
          <t>Knärot
Nordfladdermus
Tallticka
Blodticka
Gullgröppa
Mindre märgborre
Blåsippa
Gulplister
Mattlummer
Spillkråka
Sälg
Tjäder
Vitsippa</t>
        </is>
      </c>
      <c r="V6">
        <f>HYPERLINK("https://klasma.github.io/Logging_0486/artfynd/A 57157-2021 artfynd.xlsx", "A 57157-2021")</f>
        <v/>
      </c>
      <c r="W6">
        <f>HYPERLINK("https://klasma.github.io/Logging_0486/kartor/A 57157-2021 karta.png", "A 57157-2021")</f>
        <v/>
      </c>
      <c r="X6">
        <f>HYPERLINK("https://klasma.github.io/Logging_0486/knärot/A 57157-2021 karta knärot.png", "A 57157-2021")</f>
        <v/>
      </c>
      <c r="Y6">
        <f>HYPERLINK("https://klasma.github.io/Logging_0486/klagomål/A 57157-2021 FSC-klagomål.docx", "A 57157-2021")</f>
        <v/>
      </c>
      <c r="Z6">
        <f>HYPERLINK("https://klasma.github.io/Logging_0486/klagomålsmail/A 57157-2021 FSC-klagomål mail.docx", "A 57157-2021")</f>
        <v/>
      </c>
      <c r="AA6">
        <f>HYPERLINK("https://klasma.github.io/Logging_0486/tillsyn/A 57157-2021 tillsynsbegäran.docx", "A 57157-2021")</f>
        <v/>
      </c>
      <c r="AB6">
        <f>HYPERLINK("https://klasma.github.io/Logging_0486/tillsynsmail/A 57157-2021 tillsynsbegäran mail.docx", "A 57157-2021")</f>
        <v/>
      </c>
      <c r="AC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46218</v>
      </c>
      <c r="F7" t="inlineStr">
        <is>
          <t>SÖDERMANLANDS LÄN</t>
        </is>
      </c>
      <c r="G7" t="inlineStr">
        <is>
          <t>STRÄNGNÄS</t>
        </is>
      </c>
      <c r="I7" t="n">
        <v>6.2</v>
      </c>
      <c r="J7" t="n">
        <v>2</v>
      </c>
      <c r="K7" t="n">
        <v>5</v>
      </c>
      <c r="L7" t="n">
        <v>0</v>
      </c>
      <c r="M7" t="n">
        <v>0</v>
      </c>
      <c r="N7" t="n">
        <v>1</v>
      </c>
      <c r="O7" t="n">
        <v>0</v>
      </c>
      <c r="P7" t="n">
        <v>0</v>
      </c>
      <c r="Q7" t="n">
        <v>1</v>
      </c>
      <c r="R7" t="n">
        <v>1</v>
      </c>
      <c r="S7" t="n">
        <v>8</v>
      </c>
      <c r="T7" t="n">
        <v>11</v>
      </c>
      <c r="U7" s="2" t="inlineStr">
        <is>
          <t>Ask
Fällmossa
Strutbräken
Svart trolldruva
Tibast
Trädporella
Blåsippa
Spillkråka</t>
        </is>
      </c>
      <c r="V7">
        <f>HYPERLINK("https://klasma.github.io/Logging_0486/artfynd/A 42335-2025 artfynd.xlsx", "A 42335-2025")</f>
        <v/>
      </c>
      <c r="W7">
        <f>HYPERLINK("https://klasma.github.io/Logging_0486/kartor/A 42335-2025 karta.png", "A 42335-2025")</f>
        <v/>
      </c>
      <c r="Y7">
        <f>HYPERLINK("https://klasma.github.io/Logging_0486/klagomål/A 42335-2025 FSC-klagomål.docx", "A 42335-2025")</f>
        <v/>
      </c>
      <c r="Z7">
        <f>HYPERLINK("https://klasma.github.io/Logging_0486/klagomålsmail/A 42335-2025 FSC-klagomål mail.docx", "A 42335-2025")</f>
        <v/>
      </c>
      <c r="AA7">
        <f>HYPERLINK("https://klasma.github.io/Logging_0486/tillsyn/A 42335-2025 tillsynsbegäran.docx", "A 42335-2025")</f>
        <v/>
      </c>
      <c r="AB7">
        <f>HYPERLINK("https://klasma.github.io/Logging_0486/tillsynsmail/A 42335-2025 tillsynsbegäran mail.docx", "A 42335-2025")</f>
        <v/>
      </c>
      <c r="AC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46218</v>
      </c>
      <c r="F8" t="inlineStr">
        <is>
          <t>SÖDERMANLANDS LÄN</t>
        </is>
      </c>
      <c r="G8" t="inlineStr">
        <is>
          <t>STRÄNGNÄS</t>
        </is>
      </c>
      <c r="I8" t="n">
        <v>6</v>
      </c>
      <c r="J8" t="n">
        <v>4</v>
      </c>
      <c r="K8" t="n">
        <v>2</v>
      </c>
      <c r="L8" t="n">
        <v>2</v>
      </c>
      <c r="M8" t="n">
        <v>0</v>
      </c>
      <c r="N8" t="n">
        <v>1</v>
      </c>
      <c r="O8" t="n">
        <v>0</v>
      </c>
      <c r="P8" t="n">
        <v>0</v>
      </c>
      <c r="Q8" t="n">
        <v>3</v>
      </c>
      <c r="R8" t="n">
        <v>1</v>
      </c>
      <c r="S8" t="n">
        <v>7</v>
      </c>
      <c r="T8" t="n">
        <v>17</v>
      </c>
      <c r="U8" s="2" t="inlineStr">
        <is>
          <t>Skogsalm
Duvhök
Sumpviol
Korallrot
Källmossa
Grönsiska
Vanlig snok</t>
        </is>
      </c>
      <c r="V8">
        <f>HYPERLINK("https://klasma.github.io/Logging_0486/artfynd/A 13012-2022 artfynd.xlsx", "A 13012-2022")</f>
        <v/>
      </c>
      <c r="W8">
        <f>HYPERLINK("https://klasma.github.io/Logging_0486/kartor/A 13012-2022 karta.png", "A 13012-2022")</f>
        <v/>
      </c>
      <c r="Y8">
        <f>HYPERLINK("https://klasma.github.io/Logging_0486/klagomål/A 13012-2022 FSC-klagomål.docx", "A 13012-2022")</f>
        <v/>
      </c>
      <c r="Z8">
        <f>HYPERLINK("https://klasma.github.io/Logging_0486/klagomålsmail/A 13012-2022 FSC-klagomål mail.docx", "A 13012-2022")</f>
        <v/>
      </c>
      <c r="AA8">
        <f>HYPERLINK("https://klasma.github.io/Logging_0486/tillsyn/A 13012-2022 tillsynsbegäran.docx", "A 13012-2022")</f>
        <v/>
      </c>
      <c r="AB8">
        <f>HYPERLINK("https://klasma.github.io/Logging_0486/tillsynsmail/A 13012-2022 tillsynsbegäran mail.docx", "A 13012-2022")</f>
        <v/>
      </c>
      <c r="AC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46218</v>
      </c>
      <c r="F9" t="inlineStr">
        <is>
          <t>SÖDERMANLANDS LÄN</t>
        </is>
      </c>
      <c r="G9" t="inlineStr">
        <is>
          <t>STRÄNGNÄS</t>
        </is>
      </c>
      <c r="I9" t="n">
        <v>1</v>
      </c>
      <c r="J9" t="n">
        <v>4</v>
      </c>
      <c r="K9" t="n">
        <v>1</v>
      </c>
      <c r="L9" t="n">
        <v>3</v>
      </c>
      <c r="M9" t="n">
        <v>0</v>
      </c>
      <c r="N9" t="n">
        <v>0</v>
      </c>
      <c r="O9" t="n">
        <v>0</v>
      </c>
      <c r="P9" t="n">
        <v>0</v>
      </c>
      <c r="Q9" t="n">
        <v>3</v>
      </c>
      <c r="R9" t="n">
        <v>0</v>
      </c>
      <c r="S9" t="n">
        <v>7</v>
      </c>
      <c r="T9" t="n">
        <v>9</v>
      </c>
      <c r="U9" s="2" t="inlineStr">
        <is>
          <t>Motaggsvamp
Nordfladdermus
Tallticka
Blomkålssvamp
Mattlummer
Spillkråka
Fläcknycklar</t>
        </is>
      </c>
      <c r="V9">
        <f>HYPERLINK("https://klasma.github.io/Logging_0486/artfynd/A 6570-2023 artfynd.xlsx", "A 6570-2023")</f>
        <v/>
      </c>
      <c r="W9">
        <f>HYPERLINK("https://klasma.github.io/Logging_0486/kartor/A 6570-2023 karta.png", "A 6570-2023")</f>
        <v/>
      </c>
      <c r="X9">
        <f>HYPERLINK("https://klasma.github.io/Logging_0486/knärot/A 6570-2023 karta knärot.png", "A 6570-2023")</f>
        <v/>
      </c>
      <c r="Y9">
        <f>HYPERLINK("https://klasma.github.io/Logging_0486/klagomål/A 6570-2023 FSC-klagomål.docx", "A 6570-2023")</f>
        <v/>
      </c>
      <c r="Z9">
        <f>HYPERLINK("https://klasma.github.io/Logging_0486/klagomålsmail/A 6570-2023 FSC-klagomål mail.docx", "A 6570-2023")</f>
        <v/>
      </c>
      <c r="AA9">
        <f>HYPERLINK("https://klasma.github.io/Logging_0486/tillsyn/A 6570-2023 tillsynsbegäran.docx", "A 6570-2023")</f>
        <v/>
      </c>
      <c r="AB9">
        <f>HYPERLINK("https://klasma.github.io/Logging_0486/tillsynsmail/A 6570-2023 tillsynsbegäran mail.docx", "A 6570-2023")</f>
        <v/>
      </c>
      <c r="AC9">
        <f>HYPERLINK("https://klasma.github.io/Logging_0486/fåglar/A 6570-2023 prioriterade fågelarter.docx", "A 6570-2023")</f>
        <v/>
      </c>
    </row>
    <row r="10" ht="15" customHeight="1">
      <c r="A10" t="inlineStr">
        <is>
          <t>A 8998-2025</t>
        </is>
      </c>
      <c r="B10" t="inlineStr">
        <is>
          <t>avverkningsanmälan</t>
        </is>
      </c>
      <c r="C10" t="inlineStr">
        <is>
          <t>Föryngringsavverkning</t>
        </is>
      </c>
      <c r="D10" s="1" t="n">
        <v>45713</v>
      </c>
      <c r="E10" s="1" t="n">
        <v>46218</v>
      </c>
      <c r="F10" t="inlineStr">
        <is>
          <t>SÖDERMANLANDS LÄN</t>
        </is>
      </c>
      <c r="G10" t="inlineStr">
        <is>
          <t>STRÄNGNÄS</t>
        </is>
      </c>
      <c r="I10" t="n">
        <v>4.2</v>
      </c>
      <c r="J10" t="n">
        <v>3</v>
      </c>
      <c r="K10" t="n">
        <v>2</v>
      </c>
      <c r="L10" t="n">
        <v>1</v>
      </c>
      <c r="M10" t="n">
        <v>0</v>
      </c>
      <c r="N10" t="n">
        <v>1</v>
      </c>
      <c r="O10" t="n">
        <v>0</v>
      </c>
      <c r="P10" t="n">
        <v>0</v>
      </c>
      <c r="Q10" t="n">
        <v>2</v>
      </c>
      <c r="R10" t="n">
        <v>1</v>
      </c>
      <c r="S10" t="n">
        <v>6</v>
      </c>
      <c r="T10" t="n">
        <v>6</v>
      </c>
      <c r="U10" s="2" t="inlineStr">
        <is>
          <t>Ask
Sårläka
Hasselticka
Nästrot
Blåsippa
Gullviva</t>
        </is>
      </c>
      <c r="V10">
        <f>HYPERLINK("https://klasma.github.io/Logging_0486/artfynd/A 8998-2025 artfynd.xlsx", "A 8998-2025")</f>
        <v/>
      </c>
      <c r="W10">
        <f>HYPERLINK("https://klasma.github.io/Logging_0486/kartor/A 8998-2025 karta.png", "A 8998-2025")</f>
        <v/>
      </c>
      <c r="Y10">
        <f>HYPERLINK("https://klasma.github.io/Logging_0486/klagomål/A 8998-2025 FSC-klagomål.docx", "A 8998-2025")</f>
        <v/>
      </c>
      <c r="Z10">
        <f>HYPERLINK("https://klasma.github.io/Logging_0486/klagomålsmail/A 8998-2025 FSC-klagomål mail.docx", "A 8998-2025")</f>
        <v/>
      </c>
      <c r="AA10">
        <f>HYPERLINK("https://klasma.github.io/Logging_0486/tillsyn/A 8998-2025 tillsynsbegäran.docx", "A 8998-2025")</f>
        <v/>
      </c>
      <c r="AB10">
        <f>HYPERLINK("https://klasma.github.io/Logging_0486/tillsynsmail/A 8998-2025 tillsynsbegäran mail.docx", "A 8998-2025")</f>
        <v/>
      </c>
    </row>
    <row r="11" ht="15" customHeight="1">
      <c r="A11" t="inlineStr">
        <is>
          <t>A 43388-2022</t>
        </is>
      </c>
      <c r="B11" t="inlineStr">
        <is>
          <t>avverkningsanmälan</t>
        </is>
      </c>
      <c r="C11" t="inlineStr">
        <is>
          <t>Föryngringsavverkning</t>
        </is>
      </c>
      <c r="D11" s="1" t="n">
        <v>44834</v>
      </c>
      <c r="E11" s="1" t="n">
        <v>46218</v>
      </c>
      <c r="F11" t="inlineStr">
        <is>
          <t>SÖDERMANLANDS LÄN</t>
        </is>
      </c>
      <c r="G11" t="inlineStr">
        <is>
          <t>STRÄNGNÄS</t>
        </is>
      </c>
      <c r="I11" t="n">
        <v>16.5</v>
      </c>
      <c r="J11" t="n">
        <v>0</v>
      </c>
      <c r="K11" t="n">
        <v>3</v>
      </c>
      <c r="L11" t="n">
        <v>3</v>
      </c>
      <c r="M11" t="n">
        <v>0</v>
      </c>
      <c r="N11" t="n">
        <v>0</v>
      </c>
      <c r="O11" t="n">
        <v>0</v>
      </c>
      <c r="P11" t="n">
        <v>0</v>
      </c>
      <c r="Q11" t="n">
        <v>3</v>
      </c>
      <c r="R11" t="n">
        <v>0</v>
      </c>
      <c r="S11" t="n">
        <v>6</v>
      </c>
      <c r="T11" t="n">
        <v>9</v>
      </c>
      <c r="U11" s="2" t="inlineStr">
        <is>
          <t>Gammelekslav
Gul dropplav
Skuggorangelav
Brun nållav
Grå skärelav
Gulpudrad spiklav</t>
        </is>
      </c>
      <c r="V11">
        <f>HYPERLINK("https://klasma.github.io/Logging_0486/artfynd/A 43388-2022 artfynd.xlsx", "A 43388-2022")</f>
        <v/>
      </c>
      <c r="W11">
        <f>HYPERLINK("https://klasma.github.io/Logging_0486/kartor/A 43388-2022 karta.png", "A 43388-2022")</f>
        <v/>
      </c>
      <c r="Y11">
        <f>HYPERLINK("https://klasma.github.io/Logging_0486/klagomål/A 43388-2022 FSC-klagomål.docx", "A 43388-2022")</f>
        <v/>
      </c>
      <c r="Z11">
        <f>HYPERLINK("https://klasma.github.io/Logging_0486/klagomålsmail/A 43388-2022 FSC-klagomål mail.docx", "A 43388-2022")</f>
        <v/>
      </c>
      <c r="AA11">
        <f>HYPERLINK("https://klasma.github.io/Logging_0486/tillsyn/A 43388-2022 tillsynsbegäran.docx", "A 43388-2022")</f>
        <v/>
      </c>
      <c r="AB11">
        <f>HYPERLINK("https://klasma.github.io/Logging_0486/tillsynsmail/A 43388-2022 tillsynsbegäran mail.docx", "A 43388-2022")</f>
        <v/>
      </c>
    </row>
    <row r="12" ht="15" customHeight="1">
      <c r="A12" t="inlineStr">
        <is>
          <t>A 12671-2022</t>
        </is>
      </c>
      <c r="B12" t="inlineStr">
        <is>
          <t>avverkningsanmälan</t>
        </is>
      </c>
      <c r="C12" t="inlineStr">
        <is>
          <t>Föryngringsavverkning</t>
        </is>
      </c>
      <c r="D12" s="1" t="n">
        <v>44641</v>
      </c>
      <c r="E12" s="1" t="n">
        <v>46218</v>
      </c>
      <c r="F12" t="inlineStr">
        <is>
          <t>SÖDERMANLANDS LÄN</t>
        </is>
      </c>
      <c r="G12" t="inlineStr">
        <is>
          <t>STRÄNGNÄS</t>
        </is>
      </c>
      <c r="I12" t="n">
        <v>6</v>
      </c>
      <c r="J12" t="n">
        <v>6</v>
      </c>
      <c r="K12" t="n">
        <v>0</v>
      </c>
      <c r="L12" t="n">
        <v>2</v>
      </c>
      <c r="M12" t="n">
        <v>1</v>
      </c>
      <c r="N12" t="n">
        <v>0</v>
      </c>
      <c r="O12" t="n">
        <v>0</v>
      </c>
      <c r="P12" t="n">
        <v>0</v>
      </c>
      <c r="Q12" t="n">
        <v>3</v>
      </c>
      <c r="R12" t="n">
        <v>1</v>
      </c>
      <c r="S12" t="n">
        <v>6</v>
      </c>
      <c r="T12" t="n">
        <v>6</v>
      </c>
      <c r="U12" s="2" t="inlineStr">
        <is>
          <t>Gråtrut
Göktyta
Talltita
Grönsiska
Kungsfågel
Svartvit flugsnappare</t>
        </is>
      </c>
      <c r="V12">
        <f>HYPERLINK("https://klasma.github.io/Logging_0486/artfynd/A 12671-2022 artfynd.xlsx", "A 12671-2022")</f>
        <v/>
      </c>
      <c r="W12">
        <f>HYPERLINK("https://klasma.github.io/Logging_0486/kartor/A 12671-2022 karta.png", "A 12671-2022")</f>
        <v/>
      </c>
      <c r="Y12">
        <f>HYPERLINK("https://klasma.github.io/Logging_0486/klagomål/A 12671-2022 FSC-klagomål.docx", "A 12671-2022")</f>
        <v/>
      </c>
      <c r="Z12">
        <f>HYPERLINK("https://klasma.github.io/Logging_0486/klagomålsmail/A 12671-2022 FSC-klagomål mail.docx", "A 12671-2022")</f>
        <v/>
      </c>
      <c r="AA12">
        <f>HYPERLINK("https://klasma.github.io/Logging_0486/tillsyn/A 12671-2022 tillsynsbegäran.docx", "A 12671-2022")</f>
        <v/>
      </c>
      <c r="AB12">
        <f>HYPERLINK("https://klasma.github.io/Logging_0486/tillsynsmail/A 12671-2022 tillsynsbegäran mail.docx", "A 12671-2022")</f>
        <v/>
      </c>
      <c r="AC12">
        <f>HYPERLINK("https://klasma.github.io/Logging_0486/fåglar/A 12671-2022 prioriterade fågelarter.docx", "A 12671-2022")</f>
        <v/>
      </c>
    </row>
    <row r="13" ht="15" customHeight="1">
      <c r="A13" t="inlineStr">
        <is>
          <t>A 59286-2025</t>
        </is>
      </c>
      <c r="B13" t="inlineStr">
        <is>
          <t>avverkningsanmälan</t>
        </is>
      </c>
      <c r="C13" t="inlineStr">
        <is>
          <t>Föryngringsavverkning</t>
        </is>
      </c>
      <c r="D13" s="1" t="n">
        <v>45988</v>
      </c>
      <c r="E13" s="1" t="n">
        <v>46218</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s="2" t="inlineStr">
        <is>
          <t>Knärot
Gullpudra
Dvärghäxört
Grönpyrola
Springkorn</t>
        </is>
      </c>
      <c r="V13">
        <f>HYPERLINK("https://klasma.github.io/Logging_0486/artfynd/A 59286-2025 artfynd.xlsx", "A 59286-2025")</f>
        <v/>
      </c>
      <c r="W13">
        <f>HYPERLINK("https://klasma.github.io/Logging_0486/kartor/A 59286-2025 karta.png", "A 59286-2025")</f>
        <v/>
      </c>
      <c r="X13">
        <f>HYPERLINK("https://klasma.github.io/Logging_0486/knärot/A 59286-2025 karta knärot.png", "A 59286-2025")</f>
        <v/>
      </c>
      <c r="Y13">
        <f>HYPERLINK("https://klasma.github.io/Logging_0486/klagomål/A 59286-2025 FSC-klagomål.docx", "A 59286-2025")</f>
        <v/>
      </c>
      <c r="Z13">
        <f>HYPERLINK("https://klasma.github.io/Logging_0486/klagomålsmail/A 59286-2025 FSC-klagomål mail.docx", "A 59286-2025")</f>
        <v/>
      </c>
      <c r="AA13">
        <f>HYPERLINK("https://klasma.github.io/Logging_0486/tillsyn/A 59286-2025 tillsynsbegäran.docx", "A 59286-2025")</f>
        <v/>
      </c>
      <c r="AB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46218</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s="2" t="inlineStr">
        <is>
          <t>Humleblomster
Kransmossa
Liljekonvalj
Gullviva</t>
        </is>
      </c>
      <c r="V14">
        <f>HYPERLINK("https://klasma.github.io/Logging_0486/artfynd/A 48926-2021 artfynd.xlsx", "A 48926-2021")</f>
        <v/>
      </c>
      <c r="W14">
        <f>HYPERLINK("https://klasma.github.io/Logging_0486/kartor/A 48926-2021 karta.png", "A 48926-2021")</f>
        <v/>
      </c>
      <c r="Y14">
        <f>HYPERLINK("https://klasma.github.io/Logging_0486/klagomål/A 48926-2021 FSC-klagomål.docx", "A 48926-2021")</f>
        <v/>
      </c>
      <c r="Z14">
        <f>HYPERLINK("https://klasma.github.io/Logging_0486/klagomålsmail/A 48926-2021 FSC-klagomål mail.docx", "A 48926-2021")</f>
        <v/>
      </c>
      <c r="AA14">
        <f>HYPERLINK("https://klasma.github.io/Logging_0486/tillsyn/A 48926-2021 tillsynsbegäran.docx", "A 48926-2021")</f>
        <v/>
      </c>
      <c r="AB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46218</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s="2" t="inlineStr">
        <is>
          <t>Plattlummer
Mattlummer
Revlummer</t>
        </is>
      </c>
      <c r="V15">
        <f>HYPERLINK("https://klasma.github.io/Logging_0486/artfynd/A 44495-2022 artfynd.xlsx", "A 44495-2022")</f>
        <v/>
      </c>
      <c r="W15">
        <f>HYPERLINK("https://klasma.github.io/Logging_0486/kartor/A 44495-2022 karta.png", "A 44495-2022")</f>
        <v/>
      </c>
      <c r="Y15">
        <f>HYPERLINK("https://klasma.github.io/Logging_0486/klagomål/A 44495-2022 FSC-klagomål.docx", "A 44495-2022")</f>
        <v/>
      </c>
      <c r="Z15">
        <f>HYPERLINK("https://klasma.github.io/Logging_0486/klagomålsmail/A 44495-2022 FSC-klagomål mail.docx", "A 44495-2022")</f>
        <v/>
      </c>
      <c r="AA15">
        <f>HYPERLINK("https://klasma.github.io/Logging_0486/tillsyn/A 44495-2022 tillsynsbegäran.docx", "A 44495-2022")</f>
        <v/>
      </c>
      <c r="AB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46218</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s="2" t="inlineStr">
        <is>
          <t>Kråka
Kungsfågel
Gullviva</t>
        </is>
      </c>
      <c r="V16">
        <f>HYPERLINK("https://klasma.github.io/Logging_0486/artfynd/A 2493-2022 artfynd.xlsx", "A 2493-2022")</f>
        <v/>
      </c>
      <c r="W16">
        <f>HYPERLINK("https://klasma.github.io/Logging_0486/kartor/A 2493-2022 karta.png", "A 2493-2022")</f>
        <v/>
      </c>
      <c r="Y16">
        <f>HYPERLINK("https://klasma.github.io/Logging_0486/klagomål/A 2493-2022 FSC-klagomål.docx", "A 2493-2022")</f>
        <v/>
      </c>
      <c r="Z16">
        <f>HYPERLINK("https://klasma.github.io/Logging_0486/klagomålsmail/A 2493-2022 FSC-klagomål mail.docx", "A 2493-2022")</f>
        <v/>
      </c>
      <c r="AA16">
        <f>HYPERLINK("https://klasma.github.io/Logging_0486/tillsyn/A 2493-2022 tillsynsbegäran.docx", "A 2493-2022")</f>
        <v/>
      </c>
      <c r="AB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46218</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s="2" t="inlineStr">
        <is>
          <t>Skogsalm
Nästrot
Svart trolldruva</t>
        </is>
      </c>
      <c r="V17">
        <f>HYPERLINK("https://klasma.github.io/Logging_0486/artfynd/A 21966-2022 artfynd.xlsx", "A 21966-2022")</f>
        <v/>
      </c>
      <c r="W17">
        <f>HYPERLINK("https://klasma.github.io/Logging_0486/kartor/A 21966-2022 karta.png", "A 21966-2022")</f>
        <v/>
      </c>
      <c r="Y17">
        <f>HYPERLINK("https://klasma.github.io/Logging_0486/klagomål/A 21966-2022 FSC-klagomål.docx", "A 21966-2022")</f>
        <v/>
      </c>
      <c r="Z17">
        <f>HYPERLINK("https://klasma.github.io/Logging_0486/klagomålsmail/A 21966-2022 FSC-klagomål mail.docx", "A 21966-2022")</f>
        <v/>
      </c>
      <c r="AA17">
        <f>HYPERLINK("https://klasma.github.io/Logging_0486/tillsyn/A 21966-2022 tillsynsbegäran.docx", "A 21966-2022")</f>
        <v/>
      </c>
      <c r="AB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46218</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s="2" t="inlineStr">
        <is>
          <t>Oxtungssvamp
Blåsippa
Spillkråka</t>
        </is>
      </c>
      <c r="V18">
        <f>HYPERLINK("https://klasma.github.io/Logging_0486/artfynd/A 68905-2021 artfynd.xlsx", "A 68905-2021")</f>
        <v/>
      </c>
      <c r="W18">
        <f>HYPERLINK("https://klasma.github.io/Logging_0486/kartor/A 68905-2021 karta.png", "A 68905-2021")</f>
        <v/>
      </c>
      <c r="Y18">
        <f>HYPERLINK("https://klasma.github.io/Logging_0486/klagomål/A 68905-2021 FSC-klagomål.docx", "A 68905-2021")</f>
        <v/>
      </c>
      <c r="Z18">
        <f>HYPERLINK("https://klasma.github.io/Logging_0486/klagomålsmail/A 68905-2021 FSC-klagomål mail.docx", "A 68905-2021")</f>
        <v/>
      </c>
      <c r="AA18">
        <f>HYPERLINK("https://klasma.github.io/Logging_0486/tillsyn/A 68905-2021 tillsynsbegäran.docx", "A 68905-2021")</f>
        <v/>
      </c>
      <c r="AB18">
        <f>HYPERLINK("https://klasma.github.io/Logging_0486/tillsynsmail/A 68905-2021 tillsynsbegäran mail.docx", "A 68905-2021")</f>
        <v/>
      </c>
      <c r="AC18">
        <f>HYPERLINK("https://klasma.github.io/Logging_0486/fåglar/A 68905-2021 prioriterade fågelarter.docx", "A 68905-2021")</f>
        <v/>
      </c>
    </row>
    <row r="19" ht="15" customHeight="1">
      <c r="A19" t="inlineStr">
        <is>
          <t>A 49759-2025</t>
        </is>
      </c>
      <c r="B19" t="inlineStr">
        <is>
          <t>avverkningsanmälan</t>
        </is>
      </c>
      <c r="C19" t="inlineStr">
        <is>
          <t>Avverkning för annat ändamål</t>
        </is>
      </c>
      <c r="D19" s="1" t="n">
        <v>45939</v>
      </c>
      <c r="E19" s="1" t="n">
        <v>46218</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s="2" t="inlineStr">
        <is>
          <t>Ask
Kandelabersvamp
Guldlockmossa</t>
        </is>
      </c>
      <c r="V19">
        <f>HYPERLINK("https://klasma.github.io/Logging_0486/artfynd/A 49759-2025 artfynd.xlsx", "A 49759-2025")</f>
        <v/>
      </c>
      <c r="W19">
        <f>HYPERLINK("https://klasma.github.io/Logging_0486/kartor/A 49759-2025 karta.png", "A 49759-2025")</f>
        <v/>
      </c>
      <c r="Y19">
        <f>HYPERLINK("https://klasma.github.io/Logging_0486/klagomål/A 49759-2025 FSC-klagomål.docx", "A 49759-2025")</f>
        <v/>
      </c>
      <c r="Z19">
        <f>HYPERLINK("https://klasma.github.io/Logging_0486/klagomålsmail/A 49759-2025 FSC-klagomål mail.docx", "A 49759-2025")</f>
        <v/>
      </c>
      <c r="AA19">
        <f>HYPERLINK("https://klasma.github.io/Logging_0486/tillsyn/A 49759-2025 tillsynsbegäran.docx", "A 49759-2025")</f>
        <v/>
      </c>
      <c r="AB19">
        <f>HYPERLINK("https://klasma.github.io/Logging_0486/tillsynsmail/A 49759-2025 tillsynsbegäran mail.docx", "A 49759-2025")</f>
        <v/>
      </c>
    </row>
    <row r="20" ht="15" customHeight="1">
      <c r="A20" t="inlineStr">
        <is>
          <t>A 36799-2025</t>
        </is>
      </c>
      <c r="B20" t="inlineStr">
        <is>
          <t>avverkningsanmälan</t>
        </is>
      </c>
      <c r="C20" t="inlineStr">
        <is>
          <t>Föryngringsavverkning</t>
        </is>
      </c>
      <c r="D20" s="1" t="n">
        <v>45873</v>
      </c>
      <c r="E20" s="1" t="n">
        <v>46218</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s="2" t="inlineStr">
        <is>
          <t>Jungfrulin
Blomkålssvamp
Större vattensalamander</t>
        </is>
      </c>
      <c r="V20">
        <f>HYPERLINK("https://klasma.github.io/Logging_0486/artfynd/A 36799-2025 artfynd.xlsx", "A 36799-2025")</f>
        <v/>
      </c>
      <c r="W20">
        <f>HYPERLINK("https://klasma.github.io/Logging_0486/kartor/A 36799-2025 karta.png", "A 36799-2025")</f>
        <v/>
      </c>
      <c r="Y20">
        <f>HYPERLINK("https://klasma.github.io/Logging_0486/klagomål/A 36799-2025 FSC-klagomål.docx", "A 36799-2025")</f>
        <v/>
      </c>
      <c r="Z20">
        <f>HYPERLINK("https://klasma.github.io/Logging_0486/klagomålsmail/A 36799-2025 FSC-klagomål mail.docx", "A 36799-2025")</f>
        <v/>
      </c>
      <c r="AA20">
        <f>HYPERLINK("https://klasma.github.io/Logging_0486/tillsyn/A 36799-2025 tillsynsbegäran.docx", "A 36799-2025")</f>
        <v/>
      </c>
      <c r="AB20">
        <f>HYPERLINK("https://klasma.github.io/Logging_0486/tillsynsmail/A 36799-2025 tillsynsbegäran mail.docx", "A 36799-2025")</f>
        <v/>
      </c>
    </row>
    <row r="21" ht="15" customHeight="1">
      <c r="A21" t="inlineStr">
        <is>
          <t>A 52999-2025</t>
        </is>
      </c>
      <c r="B21" t="inlineStr">
        <is>
          <t>avverkningsanmälan</t>
        </is>
      </c>
      <c r="C21" t="inlineStr">
        <is>
          <t>Föryngringsavverkning</t>
        </is>
      </c>
      <c r="D21" s="1" t="n">
        <v>45957</v>
      </c>
      <c r="E21" s="1" t="n">
        <v>46218</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s="2" t="inlineStr">
        <is>
          <t>Knärot
Grönpyrola
Kungsfågel</t>
        </is>
      </c>
      <c r="V21">
        <f>HYPERLINK("https://klasma.github.io/Logging_0486/artfynd/A 52999-2025 artfynd.xlsx", "A 52999-2025")</f>
        <v/>
      </c>
      <c r="W21">
        <f>HYPERLINK("https://klasma.github.io/Logging_0486/kartor/A 52999-2025 karta.png", "A 52999-2025")</f>
        <v/>
      </c>
      <c r="X21">
        <f>HYPERLINK("https://klasma.github.io/Logging_0486/knärot/A 52999-2025 karta knärot.png", "A 52999-2025")</f>
        <v/>
      </c>
      <c r="Y21">
        <f>HYPERLINK("https://klasma.github.io/Logging_0486/klagomål/A 52999-2025 FSC-klagomål.docx", "A 52999-2025")</f>
        <v/>
      </c>
      <c r="Z21">
        <f>HYPERLINK("https://klasma.github.io/Logging_0486/klagomålsmail/A 52999-2025 FSC-klagomål mail.docx", "A 52999-2025")</f>
        <v/>
      </c>
      <c r="AA21">
        <f>HYPERLINK("https://klasma.github.io/Logging_0486/tillsyn/A 52999-2025 tillsynsbegäran.docx", "A 52999-2025")</f>
        <v/>
      </c>
      <c r="AB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46218</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s="2" t="inlineStr">
        <is>
          <t>Blekticka
Svartöra
Ormbär</t>
        </is>
      </c>
      <c r="V22">
        <f>HYPERLINK("https://klasma.github.io/Logging_0486/artfynd/A 24688-2026 artfynd.xlsx", "A 24688-2026")</f>
        <v/>
      </c>
      <c r="W22">
        <f>HYPERLINK("https://klasma.github.io/Logging_0486/kartor/A 24688-2026 karta.png", "A 24688-2026")</f>
        <v/>
      </c>
      <c r="Y22">
        <f>HYPERLINK("https://klasma.github.io/Logging_0486/klagomål/A 24688-2026 FSC-klagomål.docx", "A 24688-2026")</f>
        <v/>
      </c>
      <c r="Z22">
        <f>HYPERLINK("https://klasma.github.io/Logging_0486/klagomålsmail/A 24688-2026 FSC-klagomål mail.docx", "A 24688-2026")</f>
        <v/>
      </c>
      <c r="AA22">
        <f>HYPERLINK("https://klasma.github.io/Logging_0486/tillsyn/A 24688-2026 tillsynsbegäran.docx", "A 24688-2026")</f>
        <v/>
      </c>
      <c r="AB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46218</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s="2" t="inlineStr">
        <is>
          <t>Trubbig brosklav
Rödbrun blekspik
Sotlav</t>
        </is>
      </c>
      <c r="V23">
        <f>HYPERLINK("https://klasma.github.io/Logging_0486/artfynd/S 5673-2022 artfynd.xlsx", "S 5673-2022")</f>
        <v/>
      </c>
      <c r="W23">
        <f>HYPERLINK("https://klasma.github.io/Logging_0486/kartor/S 5673-2022 karta.png", "S 5673-2022")</f>
        <v/>
      </c>
      <c r="Y23">
        <f>HYPERLINK("https://klasma.github.io/Logging_0486/klagomål/S 5673-2022 FSC-klagomål.docx", "S 5673-2022")</f>
        <v/>
      </c>
      <c r="Z23">
        <f>HYPERLINK("https://klasma.github.io/Logging_0486/klagomålsmail/S 5673-2022 FSC-klagomål mail.docx", "S 5673-2022")</f>
        <v/>
      </c>
      <c r="AA23">
        <f>HYPERLINK("https://klasma.github.io/Logging_0486/tillsyn/S 5673-2022 tillsynsbegäran.docx", "S 5673-2022")</f>
        <v/>
      </c>
      <c r="AB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46218</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s="2" t="inlineStr">
        <is>
          <t>Stare
Grönsångare</t>
        </is>
      </c>
      <c r="V24">
        <f>HYPERLINK("https://klasma.github.io/Logging_0486/artfynd/A 44717-2022 artfynd.xlsx", "A 44717-2022")</f>
        <v/>
      </c>
      <c r="W24">
        <f>HYPERLINK("https://klasma.github.io/Logging_0486/kartor/A 44717-2022 karta.png", "A 44717-2022")</f>
        <v/>
      </c>
      <c r="Y24">
        <f>HYPERLINK("https://klasma.github.io/Logging_0486/klagomål/A 44717-2022 FSC-klagomål.docx", "A 44717-2022")</f>
        <v/>
      </c>
      <c r="Z24">
        <f>HYPERLINK("https://klasma.github.io/Logging_0486/klagomålsmail/A 44717-2022 FSC-klagomål mail.docx", "A 44717-2022")</f>
        <v/>
      </c>
      <c r="AA24">
        <f>HYPERLINK("https://klasma.github.io/Logging_0486/tillsyn/A 44717-2022 tillsynsbegäran.docx", "A 44717-2022")</f>
        <v/>
      </c>
      <c r="AB24">
        <f>HYPERLINK("https://klasma.github.io/Logging_0486/tillsynsmail/A 44717-2022 tillsynsbegäran mail.docx", "A 44717-2022")</f>
        <v/>
      </c>
      <c r="AC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46218</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s="2" t="inlineStr">
        <is>
          <t>Älg
Tjäder</t>
        </is>
      </c>
      <c r="V25">
        <f>HYPERLINK("https://klasma.github.io/Logging_0486/artfynd/A 1819-2022 artfynd.xlsx", "A 1819-2022")</f>
        <v/>
      </c>
      <c r="W25">
        <f>HYPERLINK("https://klasma.github.io/Logging_0486/kartor/A 1819-2022 karta.png", "A 1819-2022")</f>
        <v/>
      </c>
      <c r="Y25">
        <f>HYPERLINK("https://klasma.github.io/Logging_0486/klagomål/A 1819-2022 FSC-klagomål.docx", "A 1819-2022")</f>
        <v/>
      </c>
      <c r="Z25">
        <f>HYPERLINK("https://klasma.github.io/Logging_0486/klagomålsmail/A 1819-2022 FSC-klagomål mail.docx", "A 1819-2022")</f>
        <v/>
      </c>
      <c r="AA25">
        <f>HYPERLINK("https://klasma.github.io/Logging_0486/tillsyn/A 1819-2022 tillsynsbegäran.docx", "A 1819-2022")</f>
        <v/>
      </c>
      <c r="AB25">
        <f>HYPERLINK("https://klasma.github.io/Logging_0486/tillsynsmail/A 1819-2022 tillsynsbegäran mail.docx", "A 1819-2022")</f>
        <v/>
      </c>
      <c r="AC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46218</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s="2" t="inlineStr">
        <is>
          <t>Blåmossa
Spillkråka</t>
        </is>
      </c>
      <c r="V26">
        <f>HYPERLINK("https://klasma.github.io/Logging_0486/artfynd/A 60143-2024 artfynd.xlsx", "A 60143-2024")</f>
        <v/>
      </c>
      <c r="W26">
        <f>HYPERLINK("https://klasma.github.io/Logging_0486/kartor/A 60143-2024 karta.png", "A 60143-2024")</f>
        <v/>
      </c>
      <c r="Y26">
        <f>HYPERLINK("https://klasma.github.io/Logging_0486/klagomål/A 60143-2024 FSC-klagomål.docx", "A 60143-2024")</f>
        <v/>
      </c>
      <c r="Z26">
        <f>HYPERLINK("https://klasma.github.io/Logging_0486/klagomålsmail/A 60143-2024 FSC-klagomål mail.docx", "A 60143-2024")</f>
        <v/>
      </c>
      <c r="AA26">
        <f>HYPERLINK("https://klasma.github.io/Logging_0486/tillsyn/A 60143-2024 tillsynsbegäran.docx", "A 60143-2024")</f>
        <v/>
      </c>
      <c r="AB26">
        <f>HYPERLINK("https://klasma.github.io/Logging_0486/tillsynsmail/A 60143-2024 tillsynsbegäran mail.docx", "A 60143-2024")</f>
        <v/>
      </c>
      <c r="AC26">
        <f>HYPERLINK("https://klasma.github.io/Logging_0486/fåglar/A 60143-2024 prioriterade fågelarter.docx", "A 60143-2024")</f>
        <v/>
      </c>
    </row>
    <row r="27" ht="15" customHeight="1">
      <c r="A27" t="inlineStr">
        <is>
          <t>A 45669-2022</t>
        </is>
      </c>
      <c r="B27" t="inlineStr">
        <is>
          <t>avverkningsanmälan</t>
        </is>
      </c>
      <c r="C27" t="inlineStr">
        <is>
          <t>Föryngringsavverkning</t>
        </is>
      </c>
      <c r="D27" s="1" t="n">
        <v>44845</v>
      </c>
      <c r="E27" s="1" t="n">
        <v>46218</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s="2" t="inlineStr">
        <is>
          <t>Skogsduva
Törnskata</t>
        </is>
      </c>
      <c r="V27">
        <f>HYPERLINK("https://klasma.github.io/Logging_0486/artfynd/A 45669-2022 artfynd.xlsx", "A 45669-2022")</f>
        <v/>
      </c>
      <c r="W27">
        <f>HYPERLINK("https://klasma.github.io/Logging_0486/kartor/A 45669-2022 karta.png", "A 45669-2022")</f>
        <v/>
      </c>
      <c r="Y27">
        <f>HYPERLINK("https://klasma.github.io/Logging_0486/klagomål/A 45669-2022 FSC-klagomål.docx", "A 45669-2022")</f>
        <v/>
      </c>
      <c r="Z27">
        <f>HYPERLINK("https://klasma.github.io/Logging_0486/klagomålsmail/A 45669-2022 FSC-klagomål mail.docx", "A 45669-2022")</f>
        <v/>
      </c>
      <c r="AA27">
        <f>HYPERLINK("https://klasma.github.io/Logging_0486/tillsyn/A 45669-2022 tillsynsbegäran.docx", "A 45669-2022")</f>
        <v/>
      </c>
      <c r="AB27">
        <f>HYPERLINK("https://klasma.github.io/Logging_0486/tillsynsmail/A 45669-2022 tillsynsbegäran mail.docx", "A 45669-2022")</f>
        <v/>
      </c>
      <c r="AC27">
        <f>HYPERLINK("https://klasma.github.io/Logging_0486/fåglar/A 45669-2022 prioriterade fågelarter.docx", "A 45669-2022")</f>
        <v/>
      </c>
    </row>
    <row r="28" ht="15" customHeight="1">
      <c r="A28" t="inlineStr">
        <is>
          <t>A 40560-2025</t>
        </is>
      </c>
      <c r="B28" t="inlineStr">
        <is>
          <t>avverkningsanmälan</t>
        </is>
      </c>
      <c r="C28" t="inlineStr">
        <is>
          <t>Avverkning för annat ändamål</t>
        </is>
      </c>
      <c r="D28" s="1" t="n">
        <v>45896</v>
      </c>
      <c r="E28" s="1" t="n">
        <v>46218</v>
      </c>
      <c r="F28" t="inlineStr">
        <is>
          <t>SÖDERMANLANDS LÄN</t>
        </is>
      </c>
      <c r="G28" t="inlineStr">
        <is>
          <t>STRÄNGNÄS</t>
        </is>
      </c>
      <c r="I28" t="n">
        <v>12.6</v>
      </c>
      <c r="J28" t="n">
        <v>1</v>
      </c>
      <c r="K28" t="n">
        <v>0</v>
      </c>
      <c r="L28" t="n">
        <v>0</v>
      </c>
      <c r="M28" t="n">
        <v>0</v>
      </c>
      <c r="N28" t="n">
        <v>1</v>
      </c>
      <c r="O28" t="n">
        <v>0</v>
      </c>
      <c r="P28" t="n">
        <v>0</v>
      </c>
      <c r="Q28" t="n">
        <v>1</v>
      </c>
      <c r="R28" t="n">
        <v>1</v>
      </c>
      <c r="S28" t="n">
        <v>2</v>
      </c>
      <c r="T28" t="n">
        <v>2</v>
      </c>
      <c r="U28" s="2" t="inlineStr">
        <is>
          <t>Ask
Åkergroda</t>
        </is>
      </c>
      <c r="V28">
        <f>HYPERLINK("https://klasma.github.io/Logging_0486/artfynd/A 40560-2025 artfynd.xlsx", "A 40560-2025")</f>
        <v/>
      </c>
      <c r="W28">
        <f>HYPERLINK("https://klasma.github.io/Logging_0486/kartor/A 40560-2025 karta.png", "A 40560-2025")</f>
        <v/>
      </c>
      <c r="Y28">
        <f>HYPERLINK("https://klasma.github.io/Logging_0486/klagomål/A 40560-2025 FSC-klagomål.docx", "A 40560-2025")</f>
        <v/>
      </c>
      <c r="Z28">
        <f>HYPERLINK("https://klasma.github.io/Logging_0486/klagomålsmail/A 40560-2025 FSC-klagomål mail.docx", "A 40560-2025")</f>
        <v/>
      </c>
      <c r="AA28">
        <f>HYPERLINK("https://klasma.github.io/Logging_0486/tillsyn/A 40560-2025 tillsynsbegäran.docx", "A 40560-2025")</f>
        <v/>
      </c>
      <c r="AB28">
        <f>HYPERLINK("https://klasma.github.io/Logging_0486/tillsynsmail/A 40560-2025 tillsynsbegäran mail.docx", "A 40560-2025")</f>
        <v/>
      </c>
    </row>
    <row r="29" ht="15" customHeight="1">
      <c r="A29" t="inlineStr">
        <is>
          <t>A 22577-2026</t>
        </is>
      </c>
      <c r="B29" t="inlineStr">
        <is>
          <t>avverkningsanmälan</t>
        </is>
      </c>
      <c r="C29" t="inlineStr">
        <is>
          <t>Föryngringsavverkning</t>
        </is>
      </c>
      <c r="D29" s="1" t="n">
        <v>46155</v>
      </c>
      <c r="E29" s="1" t="n">
        <v>46218</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s="2" t="inlineStr">
        <is>
          <t>Rördrom
Trana</t>
        </is>
      </c>
      <c r="V29">
        <f>HYPERLINK("https://klasma.github.io/Logging_0486/artfynd/A 22577-2026 artfynd.xlsx", "A 22577-2026")</f>
        <v/>
      </c>
      <c r="W29">
        <f>HYPERLINK("https://klasma.github.io/Logging_0486/kartor/A 22577-2026 karta.png", "A 22577-2026")</f>
        <v/>
      </c>
      <c r="Y29">
        <f>HYPERLINK("https://klasma.github.io/Logging_0486/klagomål/A 22577-2026 FSC-klagomål.docx", "A 22577-2026")</f>
        <v/>
      </c>
      <c r="Z29">
        <f>HYPERLINK("https://klasma.github.io/Logging_0486/klagomålsmail/A 22577-2026 FSC-klagomål mail.docx", "A 22577-2026")</f>
        <v/>
      </c>
      <c r="AA29">
        <f>HYPERLINK("https://klasma.github.io/Logging_0486/tillsyn/A 22577-2026 tillsynsbegäran.docx", "A 22577-2026")</f>
        <v/>
      </c>
      <c r="AB29">
        <f>HYPERLINK("https://klasma.github.io/Logging_0486/tillsynsmail/A 22577-2026 tillsynsbegäran mail.docx", "A 22577-2026")</f>
        <v/>
      </c>
      <c r="AC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46218</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s="2" t="inlineStr">
        <is>
          <t>Grönvit nattviol
Nattviol</t>
        </is>
      </c>
      <c r="V30">
        <f>HYPERLINK("https://klasma.github.io/Logging_0486/artfynd/A 10841-2026 artfynd.xlsx", "A 10841-2026")</f>
        <v/>
      </c>
      <c r="W30">
        <f>HYPERLINK("https://klasma.github.io/Logging_0486/kartor/A 10841-2026 karta.png", "A 10841-2026")</f>
        <v/>
      </c>
      <c r="Y30">
        <f>HYPERLINK("https://klasma.github.io/Logging_0486/klagomål/A 10841-2026 FSC-klagomål.docx", "A 10841-2026")</f>
        <v/>
      </c>
      <c r="Z30">
        <f>HYPERLINK("https://klasma.github.io/Logging_0486/klagomålsmail/A 10841-2026 FSC-klagomål mail.docx", "A 10841-2026")</f>
        <v/>
      </c>
      <c r="AA30">
        <f>HYPERLINK("https://klasma.github.io/Logging_0486/tillsyn/A 10841-2026 tillsynsbegäran.docx", "A 10841-2026")</f>
        <v/>
      </c>
      <c r="AB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46218</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s="2" t="inlineStr">
        <is>
          <t>Gräshoppsångare
Enkelbeckasin</t>
        </is>
      </c>
      <c r="V31">
        <f>HYPERLINK("https://klasma.github.io/Logging_0486/artfynd/A 24683-2026 artfynd.xlsx", "A 24683-2026")</f>
        <v/>
      </c>
      <c r="W31">
        <f>HYPERLINK("https://klasma.github.io/Logging_0486/kartor/A 24683-2026 karta.png", "A 24683-2026")</f>
        <v/>
      </c>
      <c r="Y31">
        <f>HYPERLINK("https://klasma.github.io/Logging_0486/klagomål/A 24683-2026 FSC-klagomål.docx", "A 24683-2026")</f>
        <v/>
      </c>
      <c r="Z31">
        <f>HYPERLINK("https://klasma.github.io/Logging_0486/klagomålsmail/A 24683-2026 FSC-klagomål mail.docx", "A 24683-2026")</f>
        <v/>
      </c>
      <c r="AA31">
        <f>HYPERLINK("https://klasma.github.io/Logging_0486/tillsyn/A 24683-2026 tillsynsbegäran.docx", "A 24683-2026")</f>
        <v/>
      </c>
      <c r="AB31">
        <f>HYPERLINK("https://klasma.github.io/Logging_0486/tillsynsmail/A 24683-2026 tillsynsbegäran mail.docx", "A 24683-2026")</f>
        <v/>
      </c>
      <c r="AC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46218</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s="2" t="inlineStr">
        <is>
          <t>Gröngöling
Mistel</t>
        </is>
      </c>
      <c r="V32">
        <f>HYPERLINK("https://klasma.github.io/Logging_0486/artfynd/S 165-2024 artfynd.xlsx", "S 165-2024")</f>
        <v/>
      </c>
      <c r="W32">
        <f>HYPERLINK("https://klasma.github.io/Logging_0486/kartor/S 165-2024 karta.png", "S 165-2024")</f>
        <v/>
      </c>
      <c r="Y32">
        <f>HYPERLINK("https://klasma.github.io/Logging_0486/klagomål/S 165-2024 FSC-klagomål.docx", "S 165-2024")</f>
        <v/>
      </c>
      <c r="Z32">
        <f>HYPERLINK("https://klasma.github.io/Logging_0486/klagomålsmail/S 165-2024 FSC-klagomål mail.docx", "S 165-2024")</f>
        <v/>
      </c>
      <c r="AA32">
        <f>HYPERLINK("https://klasma.github.io/Logging_0486/tillsyn/S 165-2024 tillsynsbegäran.docx", "S 165-2024")</f>
        <v/>
      </c>
      <c r="AB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46218</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s="2" t="inlineStr">
        <is>
          <t>Jungfrulin
Gullviva</t>
        </is>
      </c>
      <c r="V33">
        <f>HYPERLINK("https://klasma.github.io/Logging_0486/artfynd/S 40-2026 artfynd.xlsx", "S 40-2026")</f>
        <v/>
      </c>
      <c r="W33">
        <f>HYPERLINK("https://klasma.github.io/Logging_0486/kartor/S 40-2026 karta.png", "S 40-2026")</f>
        <v/>
      </c>
      <c r="Y33">
        <f>HYPERLINK("https://klasma.github.io/Logging_0486/klagomål/S 40-2026 FSC-klagomål.docx", "S 40-2026")</f>
        <v/>
      </c>
      <c r="Z33">
        <f>HYPERLINK("https://klasma.github.io/Logging_0486/klagomålsmail/S 40-2026 FSC-klagomål mail.docx", "S 40-2026")</f>
        <v/>
      </c>
      <c r="AA33">
        <f>HYPERLINK("https://klasma.github.io/Logging_0486/tillsyn/S 40-2026 tillsynsbegäran.docx", "S 40-2026")</f>
        <v/>
      </c>
      <c r="AB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46218</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s="2" t="inlineStr">
        <is>
          <t>Mindre hackspett
Grönsiska</t>
        </is>
      </c>
      <c r="V34">
        <f>HYPERLINK("https://klasma.github.io/Logging_0486/artfynd/S 1445-2026 artfynd.xlsx", "S 1445-2026")</f>
        <v/>
      </c>
      <c r="W34">
        <f>HYPERLINK("https://klasma.github.io/Logging_0486/kartor/S 1445-2026 karta.png", "S 1445-2026")</f>
        <v/>
      </c>
      <c r="Y34">
        <f>HYPERLINK("https://klasma.github.io/Logging_0486/klagomål/S 1445-2026 FSC-klagomål.docx", "S 1445-2026")</f>
        <v/>
      </c>
      <c r="Z34">
        <f>HYPERLINK("https://klasma.github.io/Logging_0486/klagomålsmail/S 1445-2026 FSC-klagomål mail.docx", "S 1445-2026")</f>
        <v/>
      </c>
      <c r="AA34">
        <f>HYPERLINK("https://klasma.github.io/Logging_0486/tillsyn/S 1445-2026 tillsynsbegäran.docx", "S 1445-2026")</f>
        <v/>
      </c>
      <c r="AB34">
        <f>HYPERLINK("https://klasma.github.io/Logging_0486/tillsynsmail/S 1445-2026 tillsynsbegäran mail.docx", "S 1445-2026")</f>
        <v/>
      </c>
      <c r="AC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46218</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s="2" t="inlineStr">
        <is>
          <t>Duvhök</t>
        </is>
      </c>
      <c r="V35">
        <f>HYPERLINK("https://klasma.github.io/Logging_0486/artfynd/A 65330-2021 artfynd.xlsx", "A 65330-2021")</f>
        <v/>
      </c>
      <c r="W35">
        <f>HYPERLINK("https://klasma.github.io/Logging_0486/kartor/A 65330-2021 karta.png", "A 65330-2021")</f>
        <v/>
      </c>
      <c r="Y35">
        <f>HYPERLINK("https://klasma.github.io/Logging_0486/klagomål/A 65330-2021 FSC-klagomål.docx", "A 65330-2021")</f>
        <v/>
      </c>
      <c r="Z35">
        <f>HYPERLINK("https://klasma.github.io/Logging_0486/klagomålsmail/A 65330-2021 FSC-klagomål mail.docx", "A 65330-2021")</f>
        <v/>
      </c>
      <c r="AA35">
        <f>HYPERLINK("https://klasma.github.io/Logging_0486/tillsyn/A 65330-2021 tillsynsbegäran.docx", "A 65330-2021")</f>
        <v/>
      </c>
      <c r="AB35">
        <f>HYPERLINK("https://klasma.github.io/Logging_0486/tillsynsmail/A 65330-2021 tillsynsbegäran mail.docx", "A 65330-2021")</f>
        <v/>
      </c>
      <c r="AC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46218</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s="2" t="inlineStr">
        <is>
          <t>Nästrot</t>
        </is>
      </c>
      <c r="V36">
        <f>HYPERLINK("https://klasma.github.io/Logging_0486/artfynd/A 21317-2022 artfynd.xlsx", "A 21317-2022")</f>
        <v/>
      </c>
      <c r="W36">
        <f>HYPERLINK("https://klasma.github.io/Logging_0486/kartor/A 21317-2022 karta.png", "A 21317-2022")</f>
        <v/>
      </c>
      <c r="Y36">
        <f>HYPERLINK("https://klasma.github.io/Logging_0486/klagomål/A 21317-2022 FSC-klagomål.docx", "A 21317-2022")</f>
        <v/>
      </c>
      <c r="Z36">
        <f>HYPERLINK("https://klasma.github.io/Logging_0486/klagomålsmail/A 21317-2022 FSC-klagomål mail.docx", "A 21317-2022")</f>
        <v/>
      </c>
      <c r="AA36">
        <f>HYPERLINK("https://klasma.github.io/Logging_0486/tillsyn/A 21317-2022 tillsynsbegäran.docx", "A 21317-2022")</f>
        <v/>
      </c>
      <c r="AB36">
        <f>HYPERLINK("https://klasma.github.io/Logging_0486/tillsynsmail/A 21317-2022 tillsynsbegäran mail.docx", "A 21317-2022")</f>
        <v/>
      </c>
    </row>
    <row r="37" ht="15" customHeight="1">
      <c r="A37" t="inlineStr">
        <is>
          <t>A 43391-2025</t>
        </is>
      </c>
      <c r="B37" t="inlineStr">
        <is>
          <t>avverkningsanmälan</t>
        </is>
      </c>
      <c r="C37" t="inlineStr">
        <is>
          <t>Föryngringsavverkning</t>
        </is>
      </c>
      <c r="D37" s="1" t="n">
        <v>45911</v>
      </c>
      <c r="E37" s="1" t="n">
        <v>46218</v>
      </c>
      <c r="F37" t="inlineStr">
        <is>
          <t>SÖDERMANLANDS LÄN</t>
        </is>
      </c>
      <c r="G37" t="inlineStr">
        <is>
          <t>STRÄNGNÄS</t>
        </is>
      </c>
      <c r="I37" t="n">
        <v>4.3</v>
      </c>
      <c r="J37" t="n">
        <v>1</v>
      </c>
      <c r="K37" t="n">
        <v>0</v>
      </c>
      <c r="L37" t="n">
        <v>1</v>
      </c>
      <c r="M37" t="n">
        <v>0</v>
      </c>
      <c r="N37" t="n">
        <v>0</v>
      </c>
      <c r="O37" t="n">
        <v>0</v>
      </c>
      <c r="P37" t="n">
        <v>0</v>
      </c>
      <c r="Q37" t="n">
        <v>1</v>
      </c>
      <c r="R37" t="n">
        <v>0</v>
      </c>
      <c r="S37" t="n">
        <v>1</v>
      </c>
      <c r="T37" t="n">
        <v>1</v>
      </c>
      <c r="U37" s="2" t="inlineStr">
        <is>
          <t>Göktyta</t>
        </is>
      </c>
      <c r="V37">
        <f>HYPERLINK("https://klasma.github.io/Logging_0486/artfynd/A 43391-2025 artfynd.xlsx", "A 43391-2025")</f>
        <v/>
      </c>
      <c r="W37">
        <f>HYPERLINK("https://klasma.github.io/Logging_0486/kartor/A 43391-2025 karta.png", "A 43391-2025")</f>
        <v/>
      </c>
      <c r="Y37">
        <f>HYPERLINK("https://klasma.github.io/Logging_0486/klagomål/A 43391-2025 FSC-klagomål.docx", "A 43391-2025")</f>
        <v/>
      </c>
      <c r="Z37">
        <f>HYPERLINK("https://klasma.github.io/Logging_0486/klagomålsmail/A 43391-2025 FSC-klagomål mail.docx", "A 43391-2025")</f>
        <v/>
      </c>
      <c r="AA37">
        <f>HYPERLINK("https://klasma.github.io/Logging_0486/tillsyn/A 43391-2025 tillsynsbegäran.docx", "A 43391-2025")</f>
        <v/>
      </c>
      <c r="AB37">
        <f>HYPERLINK("https://klasma.github.io/Logging_0486/tillsynsmail/A 43391-2025 tillsynsbegäran mail.docx", "A 43391-2025")</f>
        <v/>
      </c>
      <c r="AC37">
        <f>HYPERLINK("https://klasma.github.io/Logging_0486/fåglar/A 43391-2025 prioriterade fågelarter.docx", "A 43391-2025")</f>
        <v/>
      </c>
    </row>
    <row r="38" ht="15" customHeight="1">
      <c r="A38" t="inlineStr">
        <is>
          <t>A 692-2023</t>
        </is>
      </c>
      <c r="B38" t="inlineStr">
        <is>
          <t>avverkningsanmälan</t>
        </is>
      </c>
      <c r="C38" t="inlineStr">
        <is>
          <t>Föryngringsavverkning</t>
        </is>
      </c>
      <c r="D38" s="1" t="n">
        <v>44930</v>
      </c>
      <c r="E38" s="1" t="n">
        <v>46218</v>
      </c>
      <c r="F38" t="inlineStr">
        <is>
          <t>SÖDERMANLANDS LÄN</t>
        </is>
      </c>
      <c r="G38" t="inlineStr">
        <is>
          <t>STRÄNGNÄS</t>
        </is>
      </c>
      <c r="H38" t="inlineStr">
        <is>
          <t>Övriga Aktiebolag</t>
        </is>
      </c>
      <c r="I38" t="n">
        <v>19.8</v>
      </c>
      <c r="J38" t="n">
        <v>0</v>
      </c>
      <c r="K38" t="n">
        <v>1</v>
      </c>
      <c r="L38" t="n">
        <v>0</v>
      </c>
      <c r="M38" t="n">
        <v>0</v>
      </c>
      <c r="N38" t="n">
        <v>0</v>
      </c>
      <c r="O38" t="n">
        <v>0</v>
      </c>
      <c r="P38" t="n">
        <v>0</v>
      </c>
      <c r="Q38" t="n">
        <v>0</v>
      </c>
      <c r="R38" t="n">
        <v>0</v>
      </c>
      <c r="S38" t="n">
        <v>1</v>
      </c>
      <c r="T38" t="n">
        <v>1</v>
      </c>
      <c r="U38" s="2" t="inlineStr">
        <is>
          <t>Åttafläckig praktbagge</t>
        </is>
      </c>
      <c r="V38">
        <f>HYPERLINK("https://klasma.github.io/Logging_0486/artfynd/A 692-2023 artfynd.xlsx", "A 692-2023")</f>
        <v/>
      </c>
      <c r="W38">
        <f>HYPERLINK("https://klasma.github.io/Logging_0486/kartor/A 692-2023 karta.png", "A 692-2023")</f>
        <v/>
      </c>
      <c r="Y38">
        <f>HYPERLINK("https://klasma.github.io/Logging_0486/klagomål/A 692-2023 FSC-klagomål.docx", "A 692-2023")</f>
        <v/>
      </c>
      <c r="Z38">
        <f>HYPERLINK("https://klasma.github.io/Logging_0486/klagomålsmail/A 692-2023 FSC-klagomål mail.docx", "A 692-2023")</f>
        <v/>
      </c>
      <c r="AA38">
        <f>HYPERLINK("https://klasma.github.io/Logging_0486/tillsyn/A 692-2023 tillsynsbegäran.docx", "A 692-2023")</f>
        <v/>
      </c>
      <c r="AB38">
        <f>HYPERLINK("https://klasma.github.io/Logging_0486/tillsynsmail/A 692-2023 tillsynsbegäran mail.docx", "A 692-2023")</f>
        <v/>
      </c>
    </row>
    <row r="39" ht="15" customHeight="1">
      <c r="A39" t="inlineStr">
        <is>
          <t>A 72270-2021</t>
        </is>
      </c>
      <c r="B39" t="inlineStr">
        <is>
          <t>avverkningsanmälan</t>
        </is>
      </c>
      <c r="C39" t="inlineStr">
        <is>
          <t>Föryngringsavverkning</t>
        </is>
      </c>
      <c r="D39" s="1" t="n">
        <v>44545</v>
      </c>
      <c r="E39" s="1" t="n">
        <v>46218</v>
      </c>
      <c r="F39" t="inlineStr">
        <is>
          <t>SÖDERMANLANDS LÄN</t>
        </is>
      </c>
      <c r="G39" t="inlineStr">
        <is>
          <t>STRÄNGNÄS</t>
        </is>
      </c>
      <c r="H39" t="inlineStr">
        <is>
          <t>Övriga Aktiebolag</t>
        </is>
      </c>
      <c r="I39" t="n">
        <v>2.7</v>
      </c>
      <c r="J39" t="n">
        <v>1</v>
      </c>
      <c r="K39" t="n">
        <v>0</v>
      </c>
      <c r="L39" t="n">
        <v>0</v>
      </c>
      <c r="M39" t="n">
        <v>0</v>
      </c>
      <c r="N39" t="n">
        <v>0</v>
      </c>
      <c r="O39" t="n">
        <v>0</v>
      </c>
      <c r="P39" t="n">
        <v>0</v>
      </c>
      <c r="Q39" t="n">
        <v>0</v>
      </c>
      <c r="R39" t="n">
        <v>0</v>
      </c>
      <c r="S39" t="n">
        <v>1</v>
      </c>
      <c r="T39" t="n">
        <v>1</v>
      </c>
      <c r="U39" s="2" t="inlineStr">
        <is>
          <t>Spillkråka</t>
        </is>
      </c>
      <c r="V39">
        <f>HYPERLINK("https://klasma.github.io/Logging_0486/artfynd/A 72270-2021 artfynd.xlsx", "A 72270-2021")</f>
        <v/>
      </c>
      <c r="W39">
        <f>HYPERLINK("https://klasma.github.io/Logging_0486/kartor/A 72270-2021 karta.png", "A 72270-2021")</f>
        <v/>
      </c>
      <c r="Y39">
        <f>HYPERLINK("https://klasma.github.io/Logging_0486/klagomål/A 72270-2021 FSC-klagomål.docx", "A 72270-2021")</f>
        <v/>
      </c>
      <c r="Z39">
        <f>HYPERLINK("https://klasma.github.io/Logging_0486/klagomålsmail/A 72270-2021 FSC-klagomål mail.docx", "A 72270-2021")</f>
        <v/>
      </c>
      <c r="AA39">
        <f>HYPERLINK("https://klasma.github.io/Logging_0486/tillsyn/A 72270-2021 tillsynsbegäran.docx", "A 72270-2021")</f>
        <v/>
      </c>
      <c r="AB39">
        <f>HYPERLINK("https://klasma.github.io/Logging_0486/tillsynsmail/A 72270-2021 tillsynsbegäran mail.docx", "A 72270-2021")</f>
        <v/>
      </c>
      <c r="AC39">
        <f>HYPERLINK("https://klasma.github.io/Logging_0486/fåglar/A 72270-2021 prioriterade fågelarter.docx", "A 72270-2021")</f>
        <v/>
      </c>
    </row>
    <row r="40" ht="15" customHeight="1">
      <c r="A40" t="inlineStr">
        <is>
          <t>A 52320-2023</t>
        </is>
      </c>
      <c r="B40" t="inlineStr">
        <is>
          <t>avverkningsanmälan</t>
        </is>
      </c>
      <c r="C40" t="inlineStr">
        <is>
          <t>Föryngringsavverkning</t>
        </is>
      </c>
      <c r="D40" s="1" t="n">
        <v>45224</v>
      </c>
      <c r="E40" s="1" t="n">
        <v>46218</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s="2" t="inlineStr">
        <is>
          <t>Mindre märgborre</t>
        </is>
      </c>
      <c r="V40">
        <f>HYPERLINK("https://klasma.github.io/Logging_0486/artfynd/A 52320-2023 artfynd.xlsx", "A 52320-2023")</f>
        <v/>
      </c>
      <c r="W40">
        <f>HYPERLINK("https://klasma.github.io/Logging_0486/kartor/A 52320-2023 karta.png", "A 52320-2023")</f>
        <v/>
      </c>
      <c r="Y40">
        <f>HYPERLINK("https://klasma.github.io/Logging_0486/klagomål/A 52320-2023 FSC-klagomål.docx", "A 52320-2023")</f>
        <v/>
      </c>
      <c r="Z40">
        <f>HYPERLINK("https://klasma.github.io/Logging_0486/klagomålsmail/A 52320-2023 FSC-klagomål mail.docx", "A 52320-2023")</f>
        <v/>
      </c>
      <c r="AA40">
        <f>HYPERLINK("https://klasma.github.io/Logging_0486/tillsyn/A 52320-2023 tillsynsbegäran.docx", "A 52320-2023")</f>
        <v/>
      </c>
      <c r="AB40">
        <f>HYPERLINK("https://klasma.github.io/Logging_0486/tillsynsmail/A 52320-2023 tillsynsbegäran mail.docx", "A 52320-2023")</f>
        <v/>
      </c>
    </row>
    <row r="41" ht="15" customHeight="1">
      <c r="A41" t="inlineStr">
        <is>
          <t>A 52355-2023</t>
        </is>
      </c>
      <c r="B41" t="inlineStr">
        <is>
          <t>avverkningsanmälan</t>
        </is>
      </c>
      <c r="C41" t="inlineStr">
        <is>
          <t>Föryngringsavverkning</t>
        </is>
      </c>
      <c r="D41" s="1" t="n">
        <v>45224</v>
      </c>
      <c r="E41" s="1" t="n">
        <v>46218</v>
      </c>
      <c r="F41" t="inlineStr">
        <is>
          <t>SÖDERMANLANDS LÄN</t>
        </is>
      </c>
      <c r="G41" t="inlineStr">
        <is>
          <t>STRÄNGNÄS</t>
        </is>
      </c>
      <c r="I41" t="n">
        <v>2.2</v>
      </c>
      <c r="J41" t="n">
        <v>0</v>
      </c>
      <c r="K41" t="n">
        <v>0</v>
      </c>
      <c r="L41" t="n">
        <v>0</v>
      </c>
      <c r="M41" t="n">
        <v>0</v>
      </c>
      <c r="N41" t="n">
        <v>1</v>
      </c>
      <c r="O41" t="n">
        <v>0</v>
      </c>
      <c r="P41" t="n">
        <v>0</v>
      </c>
      <c r="Q41" t="n">
        <v>1</v>
      </c>
      <c r="R41" t="n">
        <v>1</v>
      </c>
      <c r="S41" t="n">
        <v>1</v>
      </c>
      <c r="T41" t="n">
        <v>1</v>
      </c>
      <c r="U41" s="2" t="inlineStr">
        <is>
          <t>Ask</t>
        </is>
      </c>
      <c r="V41">
        <f>HYPERLINK("https://klasma.github.io/Logging_0486/artfynd/A 52355-2023 artfynd.xlsx", "A 52355-2023")</f>
        <v/>
      </c>
      <c r="W41">
        <f>HYPERLINK("https://klasma.github.io/Logging_0486/kartor/A 52355-2023 karta.png", "A 52355-2023")</f>
        <v/>
      </c>
      <c r="Y41">
        <f>HYPERLINK("https://klasma.github.io/Logging_0486/klagomål/A 52355-2023 FSC-klagomål.docx", "A 52355-2023")</f>
        <v/>
      </c>
      <c r="Z41">
        <f>HYPERLINK("https://klasma.github.io/Logging_0486/klagomålsmail/A 52355-2023 FSC-klagomål mail.docx", "A 52355-2023")</f>
        <v/>
      </c>
      <c r="AA41">
        <f>HYPERLINK("https://klasma.github.io/Logging_0486/tillsyn/A 52355-2023 tillsynsbegäran.docx", "A 52355-2023")</f>
        <v/>
      </c>
      <c r="AB41">
        <f>HYPERLINK("https://klasma.github.io/Logging_0486/tillsynsmail/A 52355-2023 tillsynsbegäran mail.docx", "A 52355-2023")</f>
        <v/>
      </c>
    </row>
    <row r="42" ht="15" customHeight="1">
      <c r="A42" t="inlineStr">
        <is>
          <t>A 18879-2023</t>
        </is>
      </c>
      <c r="B42" t="inlineStr">
        <is>
          <t>avverkningsanmälan</t>
        </is>
      </c>
      <c r="C42" t="inlineStr">
        <is>
          <t>Föryngringsavverkning</t>
        </is>
      </c>
      <c r="D42" s="1" t="n">
        <v>45044</v>
      </c>
      <c r="E42" s="1" t="n">
        <v>46218</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s="2" t="inlineStr">
        <is>
          <t>Mistel</t>
        </is>
      </c>
      <c r="V42">
        <f>HYPERLINK("https://klasma.github.io/Logging_0486/artfynd/A 18879-2023 artfynd.xlsx", "A 18879-2023")</f>
        <v/>
      </c>
      <c r="W42">
        <f>HYPERLINK("https://klasma.github.io/Logging_0486/kartor/A 18879-2023 karta.png", "A 18879-2023")</f>
        <v/>
      </c>
      <c r="Y42">
        <f>HYPERLINK("https://klasma.github.io/Logging_0486/klagomål/A 18879-2023 FSC-klagomål.docx", "A 18879-2023")</f>
        <v/>
      </c>
      <c r="Z42">
        <f>HYPERLINK("https://klasma.github.io/Logging_0486/klagomålsmail/A 18879-2023 FSC-klagomål mail.docx", "A 18879-2023")</f>
        <v/>
      </c>
      <c r="AA42">
        <f>HYPERLINK("https://klasma.github.io/Logging_0486/tillsyn/A 18879-2023 tillsynsbegäran.docx", "A 18879-2023")</f>
        <v/>
      </c>
      <c r="AB42">
        <f>HYPERLINK("https://klasma.github.io/Logging_0486/tillsynsmail/A 18879-2023 tillsynsbegäran mail.docx", "A 18879-2023")</f>
        <v/>
      </c>
    </row>
    <row r="43" ht="15" customHeight="1">
      <c r="A43" t="inlineStr">
        <is>
          <t>A 24454-2022</t>
        </is>
      </c>
      <c r="B43" t="inlineStr">
        <is>
          <t>avverkningsanmälan</t>
        </is>
      </c>
      <c r="C43" t="inlineStr">
        <is>
          <t>Föryngringsavverkning</t>
        </is>
      </c>
      <c r="D43" s="1" t="n">
        <v>44726</v>
      </c>
      <c r="E43" s="1" t="n">
        <v>46218</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s="2" t="inlineStr">
        <is>
          <t>Järpe</t>
        </is>
      </c>
      <c r="V43">
        <f>HYPERLINK("https://klasma.github.io/Logging_0486/artfynd/A 24454-2022 artfynd.xlsx", "A 24454-2022")</f>
        <v/>
      </c>
      <c r="W43">
        <f>HYPERLINK("https://klasma.github.io/Logging_0486/kartor/A 24454-2022 karta.png", "A 24454-2022")</f>
        <v/>
      </c>
      <c r="Y43">
        <f>HYPERLINK("https://klasma.github.io/Logging_0486/klagomål/A 24454-2022 FSC-klagomål.docx", "A 24454-2022")</f>
        <v/>
      </c>
      <c r="Z43">
        <f>HYPERLINK("https://klasma.github.io/Logging_0486/klagomålsmail/A 24454-2022 FSC-klagomål mail.docx", "A 24454-2022")</f>
        <v/>
      </c>
      <c r="AA43">
        <f>HYPERLINK("https://klasma.github.io/Logging_0486/tillsyn/A 24454-2022 tillsynsbegäran.docx", "A 24454-2022")</f>
        <v/>
      </c>
      <c r="AB43">
        <f>HYPERLINK("https://klasma.github.io/Logging_0486/tillsynsmail/A 24454-2022 tillsynsbegäran mail.docx", "A 24454-2022")</f>
        <v/>
      </c>
      <c r="AC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46218</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s="2" t="inlineStr">
        <is>
          <t>Tallticka</t>
        </is>
      </c>
      <c r="V44">
        <f>HYPERLINK("https://klasma.github.io/Logging_0486/artfynd/A 41511-2022 artfynd.xlsx", "A 41511-2022")</f>
        <v/>
      </c>
      <c r="W44">
        <f>HYPERLINK("https://klasma.github.io/Logging_0486/kartor/A 41511-2022 karta.png", "A 41511-2022")</f>
        <v/>
      </c>
      <c r="Y44">
        <f>HYPERLINK("https://klasma.github.io/Logging_0486/klagomål/A 41511-2022 FSC-klagomål.docx", "A 41511-2022")</f>
        <v/>
      </c>
      <c r="Z44">
        <f>HYPERLINK("https://klasma.github.io/Logging_0486/klagomålsmail/A 41511-2022 FSC-klagomål mail.docx", "A 41511-2022")</f>
        <v/>
      </c>
      <c r="AA44">
        <f>HYPERLINK("https://klasma.github.io/Logging_0486/tillsyn/A 41511-2022 tillsynsbegäran.docx", "A 41511-2022")</f>
        <v/>
      </c>
      <c r="AB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46218</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s="2" t="inlineStr">
        <is>
          <t>Blåsippa</t>
        </is>
      </c>
      <c r="V45">
        <f>HYPERLINK("https://klasma.github.io/Logging_0486/artfynd/A 50010-2023 artfynd.xlsx", "A 50010-2023")</f>
        <v/>
      </c>
      <c r="W45">
        <f>HYPERLINK("https://klasma.github.io/Logging_0486/kartor/A 50010-2023 karta.png", "A 50010-2023")</f>
        <v/>
      </c>
      <c r="Y45">
        <f>HYPERLINK("https://klasma.github.io/Logging_0486/klagomål/A 50010-2023 FSC-klagomål.docx", "A 50010-2023")</f>
        <v/>
      </c>
      <c r="Z45">
        <f>HYPERLINK("https://klasma.github.io/Logging_0486/klagomålsmail/A 50010-2023 FSC-klagomål mail.docx", "A 50010-2023")</f>
        <v/>
      </c>
      <c r="AA45">
        <f>HYPERLINK("https://klasma.github.io/Logging_0486/tillsyn/A 50010-2023 tillsynsbegäran.docx", "A 50010-2023")</f>
        <v/>
      </c>
      <c r="AB45">
        <f>HYPERLINK("https://klasma.github.io/Logging_0486/tillsynsmail/A 50010-2023 tillsynsbegäran mail.docx", "A 50010-2023")</f>
        <v/>
      </c>
    </row>
    <row r="46" ht="15" customHeight="1">
      <c r="A46" t="inlineStr">
        <is>
          <t>A 42527-2025</t>
        </is>
      </c>
      <c r="B46" t="inlineStr">
        <is>
          <t>avverkningsanmälan</t>
        </is>
      </c>
      <c r="C46" t="inlineStr">
        <is>
          <t>Föryngringsavverkning</t>
        </is>
      </c>
      <c r="D46" s="1" t="n">
        <v>45905</v>
      </c>
      <c r="E46" s="1" t="n">
        <v>46218</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s="2" t="inlineStr">
        <is>
          <t>Mattlummer</t>
        </is>
      </c>
      <c r="V46">
        <f>HYPERLINK("https://klasma.github.io/Logging_0486/artfynd/A 42527-2025 artfynd.xlsx", "A 42527-2025")</f>
        <v/>
      </c>
      <c r="W46">
        <f>HYPERLINK("https://klasma.github.io/Logging_0486/kartor/A 42527-2025 karta.png", "A 42527-2025")</f>
        <v/>
      </c>
      <c r="Y46">
        <f>HYPERLINK("https://klasma.github.io/Logging_0486/klagomål/A 42527-2025 FSC-klagomål.docx", "A 42527-2025")</f>
        <v/>
      </c>
      <c r="Z46">
        <f>HYPERLINK("https://klasma.github.io/Logging_0486/klagomålsmail/A 42527-2025 FSC-klagomål mail.docx", "A 42527-2025")</f>
        <v/>
      </c>
      <c r="AA46">
        <f>HYPERLINK("https://klasma.github.io/Logging_0486/tillsyn/A 42527-2025 tillsynsbegäran.docx", "A 42527-2025")</f>
        <v/>
      </c>
      <c r="AB46">
        <f>HYPERLINK("https://klasma.github.io/Logging_0486/tillsynsmail/A 42527-2025 tillsynsbegäran mail.docx", "A 42527-2025")</f>
        <v/>
      </c>
    </row>
    <row r="47" ht="15" customHeight="1">
      <c r="A47" t="inlineStr">
        <is>
          <t>A 42345-2025</t>
        </is>
      </c>
      <c r="B47" t="inlineStr">
        <is>
          <t>avverkningsanmälan</t>
        </is>
      </c>
      <c r="C47" t="inlineStr">
        <is>
          <t>Avverkning för annat ändamål</t>
        </is>
      </c>
      <c r="D47" s="1" t="n">
        <v>45904</v>
      </c>
      <c r="E47" s="1" t="n">
        <v>46218</v>
      </c>
      <c r="F47" t="inlineStr">
        <is>
          <t>SÖDERMANLANDS LÄN</t>
        </is>
      </c>
      <c r="G47" t="inlineStr">
        <is>
          <t>STRÄNGNÄS</t>
        </is>
      </c>
      <c r="I47" t="n">
        <v>5</v>
      </c>
      <c r="J47" t="n">
        <v>0</v>
      </c>
      <c r="K47" t="n">
        <v>0</v>
      </c>
      <c r="L47" t="n">
        <v>0</v>
      </c>
      <c r="M47" t="n">
        <v>0</v>
      </c>
      <c r="N47" t="n">
        <v>1</v>
      </c>
      <c r="O47" t="n">
        <v>0</v>
      </c>
      <c r="P47" t="n">
        <v>0</v>
      </c>
      <c r="Q47" t="n">
        <v>1</v>
      </c>
      <c r="R47" t="n">
        <v>1</v>
      </c>
      <c r="S47" t="n">
        <v>1</v>
      </c>
      <c r="T47" t="n">
        <v>1</v>
      </c>
      <c r="U47" s="2" t="inlineStr">
        <is>
          <t>Ask</t>
        </is>
      </c>
      <c r="V47">
        <f>HYPERLINK("https://klasma.github.io/Logging_0486/artfynd/A 42345-2025 artfynd.xlsx", "A 42345-2025")</f>
        <v/>
      </c>
      <c r="W47">
        <f>HYPERLINK("https://klasma.github.io/Logging_0486/kartor/A 42345-2025 karta.png", "A 42345-2025")</f>
        <v/>
      </c>
      <c r="Y47">
        <f>HYPERLINK("https://klasma.github.io/Logging_0486/klagomål/A 42345-2025 FSC-klagomål.docx", "A 42345-2025")</f>
        <v/>
      </c>
      <c r="Z47">
        <f>HYPERLINK("https://klasma.github.io/Logging_0486/klagomålsmail/A 42345-2025 FSC-klagomål mail.docx", "A 42345-2025")</f>
        <v/>
      </c>
      <c r="AA47">
        <f>HYPERLINK("https://klasma.github.io/Logging_0486/tillsyn/A 42345-2025 tillsynsbegäran.docx", "A 42345-2025")</f>
        <v/>
      </c>
      <c r="AB47">
        <f>HYPERLINK("https://klasma.github.io/Logging_0486/tillsynsmail/A 42345-2025 tillsynsbegäran mail.docx", "A 42345-2025")</f>
        <v/>
      </c>
    </row>
    <row r="48" ht="15" customHeight="1">
      <c r="A48" t="inlineStr">
        <is>
          <t>A 35360-2024</t>
        </is>
      </c>
      <c r="B48" t="inlineStr">
        <is>
          <t>avverkningsanmälan</t>
        </is>
      </c>
      <c r="C48" t="inlineStr">
        <is>
          <t>Föryngringsavverkning</t>
        </is>
      </c>
      <c r="D48" s="1" t="n">
        <v>45531</v>
      </c>
      <c r="E48" s="1" t="n">
        <v>46218</v>
      </c>
      <c r="F48" t="inlineStr">
        <is>
          <t>SÖDERMANLANDS LÄN</t>
        </is>
      </c>
      <c r="G48" t="inlineStr">
        <is>
          <t>STRÄNGNÄS</t>
        </is>
      </c>
      <c r="H48" t="inlineStr">
        <is>
          <t>Övriga statliga verk och myndigheter</t>
        </is>
      </c>
      <c r="I48" t="n">
        <v>7.6</v>
      </c>
      <c r="J48" t="n">
        <v>0</v>
      </c>
      <c r="K48" t="n">
        <v>1</v>
      </c>
      <c r="L48" t="n">
        <v>0</v>
      </c>
      <c r="M48" t="n">
        <v>0</v>
      </c>
      <c r="N48" t="n">
        <v>0</v>
      </c>
      <c r="O48" t="n">
        <v>0</v>
      </c>
      <c r="P48" t="n">
        <v>0</v>
      </c>
      <c r="Q48" t="n">
        <v>0</v>
      </c>
      <c r="R48" t="n">
        <v>0</v>
      </c>
      <c r="S48" t="n">
        <v>1</v>
      </c>
      <c r="T48" t="n">
        <v>1</v>
      </c>
      <c r="U48" s="2" t="inlineStr">
        <is>
          <t>Grönpyrola</t>
        </is>
      </c>
      <c r="V48">
        <f>HYPERLINK("https://klasma.github.io/Logging_0486/artfynd/A 35360-2024 artfynd.xlsx", "A 35360-2024")</f>
        <v/>
      </c>
      <c r="W48">
        <f>HYPERLINK("https://klasma.github.io/Logging_0486/kartor/A 35360-2024 karta.png", "A 35360-2024")</f>
        <v/>
      </c>
      <c r="Y48">
        <f>HYPERLINK("https://klasma.github.io/Logging_0486/klagomål/A 35360-2024 FSC-klagomål.docx", "A 35360-2024")</f>
        <v/>
      </c>
      <c r="Z48">
        <f>HYPERLINK("https://klasma.github.io/Logging_0486/klagomålsmail/A 35360-2024 FSC-klagomål mail.docx", "A 35360-2024")</f>
        <v/>
      </c>
      <c r="AA48">
        <f>HYPERLINK("https://klasma.github.io/Logging_0486/tillsyn/A 35360-2024 tillsynsbegäran.docx", "A 35360-2024")</f>
        <v/>
      </c>
      <c r="AB48">
        <f>HYPERLINK("https://klasma.github.io/Logging_0486/tillsynsmail/A 35360-2024 tillsynsbegäran mail.docx", "A 35360-2024")</f>
        <v/>
      </c>
    </row>
    <row r="49" ht="15" customHeight="1">
      <c r="A49" t="inlineStr">
        <is>
          <t>A 52997-2025</t>
        </is>
      </c>
      <c r="B49" t="inlineStr">
        <is>
          <t>avverkningsanmälan</t>
        </is>
      </c>
      <c r="C49" t="inlineStr">
        <is>
          <t>Föryngringsavverkning</t>
        </is>
      </c>
      <c r="D49" s="1" t="n">
        <v>45957</v>
      </c>
      <c r="E49" s="1" t="n">
        <v>46218</v>
      </c>
      <c r="F49" t="inlineStr">
        <is>
          <t>SÖDERMANLANDS LÄN</t>
        </is>
      </c>
      <c r="G49" t="inlineStr">
        <is>
          <t>STRÄNGNÄS</t>
        </is>
      </c>
      <c r="I49" t="n">
        <v>1.4</v>
      </c>
      <c r="J49" t="n">
        <v>1</v>
      </c>
      <c r="K49" t="n">
        <v>0</v>
      </c>
      <c r="L49" t="n">
        <v>0</v>
      </c>
      <c r="M49" t="n">
        <v>1</v>
      </c>
      <c r="N49" t="n">
        <v>0</v>
      </c>
      <c r="O49" t="n">
        <v>0</v>
      </c>
      <c r="P49" t="n">
        <v>0</v>
      </c>
      <c r="Q49" t="n">
        <v>1</v>
      </c>
      <c r="R49" t="n">
        <v>1</v>
      </c>
      <c r="S49" t="n">
        <v>1</v>
      </c>
      <c r="T49" t="n">
        <v>1</v>
      </c>
      <c r="U49" s="2" t="inlineStr">
        <is>
          <t>Knärot</t>
        </is>
      </c>
      <c r="V49">
        <f>HYPERLINK("https://klasma.github.io/Logging_0486/artfynd/A 52997-2025 artfynd.xlsx", "A 52997-2025")</f>
        <v/>
      </c>
      <c r="W49">
        <f>HYPERLINK("https://klasma.github.io/Logging_0486/kartor/A 52997-2025 karta.png", "A 52997-2025")</f>
        <v/>
      </c>
      <c r="X49">
        <f>HYPERLINK("https://klasma.github.io/Logging_0486/knärot/A 52997-2025 karta knärot.png", "A 52997-2025")</f>
        <v/>
      </c>
      <c r="Y49">
        <f>HYPERLINK("https://klasma.github.io/Logging_0486/klagomål/A 52997-2025 FSC-klagomål.docx", "A 52997-2025")</f>
        <v/>
      </c>
      <c r="Z49">
        <f>HYPERLINK("https://klasma.github.io/Logging_0486/klagomålsmail/A 52997-2025 FSC-klagomål mail.docx", "A 52997-2025")</f>
        <v/>
      </c>
      <c r="AA49">
        <f>HYPERLINK("https://klasma.github.io/Logging_0486/tillsyn/A 52997-2025 tillsynsbegäran.docx", "A 52997-2025")</f>
        <v/>
      </c>
      <c r="AB49">
        <f>HYPERLINK("https://klasma.github.io/Logging_0486/tillsynsmail/A 52997-2025 tillsynsbegäran mail.docx", "A 52997-2025")</f>
        <v/>
      </c>
    </row>
    <row r="50" ht="15" customHeight="1">
      <c r="A50" t="inlineStr">
        <is>
          <t>A 53488-2022</t>
        </is>
      </c>
      <c r="B50" t="inlineStr">
        <is>
          <t>avverkningsanmälan</t>
        </is>
      </c>
      <c r="C50" t="inlineStr">
        <is>
          <t>Föryngringsavverkning</t>
        </is>
      </c>
      <c r="D50" s="1" t="n">
        <v>44874</v>
      </c>
      <c r="E50" s="1" t="n">
        <v>46218</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s="2" t="inlineStr"/>
    </row>
    <row r="51" ht="15" customHeight="1">
      <c r="A51" t="inlineStr">
        <is>
          <t>A 36853-2022</t>
        </is>
      </c>
      <c r="B51" t="inlineStr">
        <is>
          <t>avverkningsanmälan</t>
        </is>
      </c>
      <c r="C51" t="inlineStr">
        <is>
          <t>Föryngringsavverkning</t>
        </is>
      </c>
      <c r="D51" s="1" t="n">
        <v>44805</v>
      </c>
      <c r="E51" s="1" t="n">
        <v>46218</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s="2" t="inlineStr"/>
    </row>
    <row r="52" ht="15" customHeight="1">
      <c r="A52" t="inlineStr">
        <is>
          <t>A 14024-2022</t>
        </is>
      </c>
      <c r="B52" t="inlineStr">
        <is>
          <t>avverkningsanmälan</t>
        </is>
      </c>
      <c r="C52" t="inlineStr">
        <is>
          <t>Föryngringsavverkning</t>
        </is>
      </c>
      <c r="D52" s="1" t="n">
        <v>44650</v>
      </c>
      <c r="E52" s="1" t="n">
        <v>46218</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s="2" t="inlineStr"/>
    </row>
    <row r="53" ht="15" customHeight="1">
      <c r="A53" t="inlineStr">
        <is>
          <t>A 2574-2022</t>
        </is>
      </c>
      <c r="B53" t="inlineStr">
        <is>
          <t>avverkningsanmälan</t>
        </is>
      </c>
      <c r="C53" t="inlineStr">
        <is>
          <t>Föryngringsavverkning</t>
        </is>
      </c>
      <c r="D53" s="1" t="n">
        <v>44579</v>
      </c>
      <c r="E53" s="1" t="n">
        <v>46218</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s="2" t="inlineStr"/>
    </row>
    <row r="54" ht="15" customHeight="1">
      <c r="A54" t="inlineStr">
        <is>
          <t>A 40814-2021</t>
        </is>
      </c>
      <c r="B54" t="inlineStr">
        <is>
          <t>avverkningsanmälan</t>
        </is>
      </c>
      <c r="C54" t="inlineStr">
        <is>
          <t>Föryngringsavverkning</t>
        </is>
      </c>
      <c r="D54" s="1" t="n">
        <v>44421</v>
      </c>
      <c r="E54" s="1" t="n">
        <v>46218</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s="2" t="inlineStr"/>
    </row>
    <row r="55" ht="15" customHeight="1">
      <c r="A55" t="inlineStr">
        <is>
          <t>A 10413-2022</t>
        </is>
      </c>
      <c r="B55" t="inlineStr">
        <is>
          <t>avverkningsanmälan</t>
        </is>
      </c>
      <c r="C55" t="inlineStr">
        <is>
          <t>Föryngringsavverkning</t>
        </is>
      </c>
      <c r="D55" s="1" t="n">
        <v>44623</v>
      </c>
      <c r="E55" s="1" t="n">
        <v>46218</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s="2" t="inlineStr"/>
    </row>
    <row r="56" ht="15" customHeight="1">
      <c r="A56" t="inlineStr">
        <is>
          <t>A 12277-2022</t>
        </is>
      </c>
      <c r="B56" t="inlineStr">
        <is>
          <t>avverkningsanmälan</t>
        </is>
      </c>
      <c r="C56" t="inlineStr">
        <is>
          <t>Föryngringsavverkning</t>
        </is>
      </c>
      <c r="D56" s="1" t="n">
        <v>44637</v>
      </c>
      <c r="E56" s="1" t="n">
        <v>46218</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s="2" t="inlineStr"/>
    </row>
    <row r="57" ht="15" customHeight="1">
      <c r="A57" t="inlineStr">
        <is>
          <t>A 15814-2022</t>
        </is>
      </c>
      <c r="B57" t="inlineStr">
        <is>
          <t>avverkningsanmälan</t>
        </is>
      </c>
      <c r="C57" t="inlineStr">
        <is>
          <t>Föryngringsavverkning</t>
        </is>
      </c>
      <c r="D57" s="1" t="n">
        <v>44664</v>
      </c>
      <c r="E57" s="1" t="n">
        <v>46218</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s="2" t="inlineStr"/>
    </row>
    <row r="58" ht="15" customHeight="1">
      <c r="A58" t="inlineStr">
        <is>
          <t>A 47251-2021</t>
        </is>
      </c>
      <c r="B58" t="inlineStr">
        <is>
          <t>avverkningsanmälan</t>
        </is>
      </c>
      <c r="C58" t="inlineStr">
        <is>
          <t>Föryngringsavverkning</t>
        </is>
      </c>
      <c r="D58" s="1" t="n">
        <v>44439</v>
      </c>
      <c r="E58" s="1" t="n">
        <v>46218</v>
      </c>
      <c r="F58" t="inlineStr">
        <is>
          <t>SÖDERMANLANDS LÄN</t>
        </is>
      </c>
      <c r="G58" t="inlineStr">
        <is>
          <t>STRÄNGNÄS</t>
        </is>
      </c>
      <c r="I58" t="n">
        <v>2.6</v>
      </c>
      <c r="J58" t="n">
        <v>0</v>
      </c>
      <c r="K58" t="n">
        <v>0</v>
      </c>
      <c r="L58" t="n">
        <v>0</v>
      </c>
      <c r="M58" t="n">
        <v>0</v>
      </c>
      <c r="N58" t="n">
        <v>0</v>
      </c>
      <c r="O58" t="n">
        <v>0</v>
      </c>
      <c r="P58" t="n">
        <v>0</v>
      </c>
      <c r="Q58" t="n">
        <v>0</v>
      </c>
      <c r="R58" t="n">
        <v>0</v>
      </c>
      <c r="S58" t="n">
        <v>0</v>
      </c>
      <c r="T58" t="n">
        <v>0</v>
      </c>
      <c r="U58" s="2" t="inlineStr"/>
    </row>
    <row r="59" ht="15" customHeight="1">
      <c r="A59" t="inlineStr">
        <is>
          <t>A 47453-2022</t>
        </is>
      </c>
      <c r="B59" t="inlineStr">
        <is>
          <t>avverkningsanmälan</t>
        </is>
      </c>
      <c r="C59" t="inlineStr">
        <is>
          <t>Föryngringsavverkning</t>
        </is>
      </c>
      <c r="D59" s="1" t="n">
        <v>44852</v>
      </c>
      <c r="E59" s="1" t="n">
        <v>46218</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s="2" t="inlineStr"/>
    </row>
    <row r="60" ht="15" customHeight="1">
      <c r="A60" t="inlineStr">
        <is>
          <t>A 60331-2021</t>
        </is>
      </c>
      <c r="B60" t="inlineStr">
        <is>
          <t>avverkningsanmälan</t>
        </is>
      </c>
      <c r="C60" t="inlineStr">
        <is>
          <t>Föryngringsavverkning</t>
        </is>
      </c>
      <c r="D60" s="1" t="n">
        <v>44495</v>
      </c>
      <c r="E60" s="1" t="n">
        <v>46218</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s="2" t="inlineStr"/>
    </row>
    <row r="61" ht="15" customHeight="1">
      <c r="A61" t="inlineStr">
        <is>
          <t>A 39175-2021</t>
        </is>
      </c>
      <c r="B61" t="inlineStr">
        <is>
          <t>avverkningsanmälan</t>
        </is>
      </c>
      <c r="C61" t="inlineStr">
        <is>
          <t>Föryngringsavverkning</t>
        </is>
      </c>
      <c r="D61" s="1" t="n">
        <v>44412</v>
      </c>
      <c r="E61" s="1" t="n">
        <v>46218</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s="2" t="inlineStr"/>
    </row>
    <row r="62" ht="15" customHeight="1">
      <c r="A62" t="inlineStr">
        <is>
          <t>A 38339-2021</t>
        </is>
      </c>
      <c r="B62" t="inlineStr">
        <is>
          <t>avverkningsanmälan</t>
        </is>
      </c>
      <c r="C62" t="inlineStr">
        <is>
          <t>Föryngringsavverkning</t>
        </is>
      </c>
      <c r="D62" s="1" t="n">
        <v>44406</v>
      </c>
      <c r="E62" s="1" t="n">
        <v>46218</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s="2" t="inlineStr"/>
    </row>
    <row r="63" ht="15" customHeight="1">
      <c r="A63" t="inlineStr">
        <is>
          <t>A 49992-2021</t>
        </is>
      </c>
      <c r="B63" t="inlineStr">
        <is>
          <t>avverkningsanmälan</t>
        </is>
      </c>
      <c r="C63" t="inlineStr">
        <is>
          <t>Föryngringsavverkning</t>
        </is>
      </c>
      <c r="D63" s="1" t="n">
        <v>44456</v>
      </c>
      <c r="E63" s="1" t="n">
        <v>46218</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s="2" t="inlineStr"/>
    </row>
    <row r="64" ht="15" customHeight="1">
      <c r="A64" t="inlineStr">
        <is>
          <t>A 45129-2021</t>
        </is>
      </c>
      <c r="B64" t="inlineStr">
        <is>
          <t>avverkningsanmälan</t>
        </is>
      </c>
      <c r="C64" t="inlineStr">
        <is>
          <t>Föryngringsavverkning</t>
        </is>
      </c>
      <c r="D64" s="1" t="n">
        <v>44439</v>
      </c>
      <c r="E64" s="1" t="n">
        <v>46218</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s="2" t="inlineStr"/>
    </row>
    <row r="65" ht="15" customHeight="1">
      <c r="A65" t="inlineStr">
        <is>
          <t>A 45131-2021</t>
        </is>
      </c>
      <c r="B65" t="inlineStr">
        <is>
          <t>avverkningsanmälan</t>
        </is>
      </c>
      <c r="C65" t="inlineStr">
        <is>
          <t>Föryngringsavverkning</t>
        </is>
      </c>
      <c r="D65" s="1" t="n">
        <v>44439</v>
      </c>
      <c r="E65" s="1" t="n">
        <v>46218</v>
      </c>
      <c r="F65" t="inlineStr">
        <is>
          <t>SÖDERMANLANDS LÄN</t>
        </is>
      </c>
      <c r="G65" t="inlineStr">
        <is>
          <t>STRÄNGNÄS</t>
        </is>
      </c>
      <c r="H65" t="inlineStr">
        <is>
          <t>Kommuner</t>
        </is>
      </c>
      <c r="I65" t="n">
        <v>6.2</v>
      </c>
      <c r="J65" t="n">
        <v>0</v>
      </c>
      <c r="K65" t="n">
        <v>0</v>
      </c>
      <c r="L65" t="n">
        <v>0</v>
      </c>
      <c r="M65" t="n">
        <v>0</v>
      </c>
      <c r="N65" t="n">
        <v>0</v>
      </c>
      <c r="O65" t="n">
        <v>0</v>
      </c>
      <c r="P65" t="n">
        <v>0</v>
      </c>
      <c r="Q65" t="n">
        <v>0</v>
      </c>
      <c r="R65" t="n">
        <v>0</v>
      </c>
      <c r="S65" t="n">
        <v>0</v>
      </c>
      <c r="T65" t="n">
        <v>0</v>
      </c>
      <c r="U65" s="2" t="inlineStr"/>
    </row>
    <row r="66" ht="15" customHeight="1">
      <c r="A66" t="inlineStr">
        <is>
          <t>A 73092-2021</t>
        </is>
      </c>
      <c r="B66" t="inlineStr">
        <is>
          <t>avverkningsanmälan</t>
        </is>
      </c>
      <c r="C66" t="inlineStr">
        <is>
          <t>Föryngringsavverkning</t>
        </is>
      </c>
      <c r="D66" s="1" t="n">
        <v>44550</v>
      </c>
      <c r="E66" s="1" t="n">
        <v>46218</v>
      </c>
      <c r="F66" t="inlineStr">
        <is>
          <t>SÖDERMANLANDS LÄN</t>
        </is>
      </c>
      <c r="G66" t="inlineStr">
        <is>
          <t>STRÄNGNÄS</t>
        </is>
      </c>
      <c r="I66" t="n">
        <v>0.3</v>
      </c>
      <c r="J66" t="n">
        <v>0</v>
      </c>
      <c r="K66" t="n">
        <v>0</v>
      </c>
      <c r="L66" t="n">
        <v>0</v>
      </c>
      <c r="M66" t="n">
        <v>0</v>
      </c>
      <c r="N66" t="n">
        <v>0</v>
      </c>
      <c r="O66" t="n">
        <v>0</v>
      </c>
      <c r="P66" t="n">
        <v>0</v>
      </c>
      <c r="Q66" t="n">
        <v>0</v>
      </c>
      <c r="R66" t="n">
        <v>0</v>
      </c>
      <c r="S66" t="n">
        <v>0</v>
      </c>
      <c r="T66" t="n">
        <v>0</v>
      </c>
      <c r="U66" s="2" t="inlineStr"/>
    </row>
    <row r="67" ht="15" customHeight="1">
      <c r="A67" t="inlineStr">
        <is>
          <t>A 55663-2021</t>
        </is>
      </c>
      <c r="B67" t="inlineStr">
        <is>
          <t>avverkningsanmälan</t>
        </is>
      </c>
      <c r="C67" t="inlineStr">
        <is>
          <t>Föryngringsavverkning</t>
        </is>
      </c>
      <c r="D67" s="1" t="n">
        <v>44475</v>
      </c>
      <c r="E67" s="1" t="n">
        <v>46218</v>
      </c>
      <c r="F67" t="inlineStr">
        <is>
          <t>SÖDERMANLANDS LÄN</t>
        </is>
      </c>
      <c r="G67" t="inlineStr">
        <is>
          <t>STRÄNGNÄS</t>
        </is>
      </c>
      <c r="I67" t="n">
        <v>2</v>
      </c>
      <c r="J67" t="n">
        <v>0</v>
      </c>
      <c r="K67" t="n">
        <v>0</v>
      </c>
      <c r="L67" t="n">
        <v>0</v>
      </c>
      <c r="M67" t="n">
        <v>0</v>
      </c>
      <c r="N67" t="n">
        <v>0</v>
      </c>
      <c r="O67" t="n">
        <v>0</v>
      </c>
      <c r="P67" t="n">
        <v>0</v>
      </c>
      <c r="Q67" t="n">
        <v>0</v>
      </c>
      <c r="R67" t="n">
        <v>0</v>
      </c>
      <c r="S67" t="n">
        <v>0</v>
      </c>
      <c r="T67" t="n">
        <v>0</v>
      </c>
      <c r="U67" s="2" t="inlineStr"/>
    </row>
    <row r="68" ht="15" customHeight="1">
      <c r="A68" t="inlineStr">
        <is>
          <t>A 7923-2022</t>
        </is>
      </c>
      <c r="B68" t="inlineStr">
        <is>
          <t>avverkningsanmälan</t>
        </is>
      </c>
      <c r="C68" t="inlineStr">
        <is>
          <t>Föryngringsavverkning</t>
        </is>
      </c>
      <c r="D68" s="1" t="n">
        <v>44608</v>
      </c>
      <c r="E68" s="1" t="n">
        <v>46218</v>
      </c>
      <c r="F68" t="inlineStr">
        <is>
          <t>SÖDERMANLANDS LÄN</t>
        </is>
      </c>
      <c r="G68" t="inlineStr">
        <is>
          <t>STRÄNGNÄS</t>
        </is>
      </c>
      <c r="I68" t="n">
        <v>3.6</v>
      </c>
      <c r="J68" t="n">
        <v>0</v>
      </c>
      <c r="K68" t="n">
        <v>0</v>
      </c>
      <c r="L68" t="n">
        <v>0</v>
      </c>
      <c r="M68" t="n">
        <v>0</v>
      </c>
      <c r="N68" t="n">
        <v>0</v>
      </c>
      <c r="O68" t="n">
        <v>0</v>
      </c>
      <c r="P68" t="n">
        <v>0</v>
      </c>
      <c r="Q68" t="n">
        <v>0</v>
      </c>
      <c r="R68" t="n">
        <v>0</v>
      </c>
      <c r="S68" t="n">
        <v>0</v>
      </c>
      <c r="T68" t="n">
        <v>0</v>
      </c>
      <c r="U68" s="2" t="inlineStr"/>
    </row>
    <row r="69" ht="15" customHeight="1">
      <c r="A69" t="inlineStr">
        <is>
          <t>A 12688-2022</t>
        </is>
      </c>
      <c r="B69" t="inlineStr">
        <is>
          <t>avverkningsanmälan</t>
        </is>
      </c>
      <c r="C69" t="inlineStr">
        <is>
          <t>Föryngringsavverkning</t>
        </is>
      </c>
      <c r="D69" s="1" t="n">
        <v>44641</v>
      </c>
      <c r="E69" s="1" t="n">
        <v>46218</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s="2" t="inlineStr"/>
    </row>
    <row r="70" ht="15" customHeight="1">
      <c r="A70" t="inlineStr">
        <is>
          <t>A 12685-2022</t>
        </is>
      </c>
      <c r="B70" t="inlineStr">
        <is>
          <t>avverkningsanmälan</t>
        </is>
      </c>
      <c r="C70" t="inlineStr">
        <is>
          <t>Föryngringsavverkning</t>
        </is>
      </c>
      <c r="D70" s="1" t="n">
        <v>44641</v>
      </c>
      <c r="E70" s="1" t="n">
        <v>46218</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s="2" t="inlineStr"/>
    </row>
    <row r="71" ht="15" customHeight="1">
      <c r="A71" t="inlineStr">
        <is>
          <t>A 10391-2022</t>
        </is>
      </c>
      <c r="B71" t="inlineStr">
        <is>
          <t>avverkningsanmälan</t>
        </is>
      </c>
      <c r="C71" t="inlineStr">
        <is>
          <t>Föryngringsavverkning</t>
        </is>
      </c>
      <c r="D71" s="1" t="n">
        <v>44623</v>
      </c>
      <c r="E71" s="1" t="n">
        <v>46218</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s="2" t="inlineStr"/>
    </row>
    <row r="72" ht="15" customHeight="1">
      <c r="A72" t="inlineStr">
        <is>
          <t>A 62617-2021</t>
        </is>
      </c>
      <c r="B72" t="inlineStr">
        <is>
          <t>avverkningsanmälan</t>
        </is>
      </c>
      <c r="C72" t="inlineStr">
        <is>
          <t>Föryngringsavverkning</t>
        </is>
      </c>
      <c r="D72" s="1" t="n">
        <v>44503</v>
      </c>
      <c r="E72" s="1" t="n">
        <v>46218</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s="2" t="inlineStr"/>
    </row>
    <row r="73" ht="15" customHeight="1">
      <c r="A73" t="inlineStr">
        <is>
          <t>A 21794-2022</t>
        </is>
      </c>
      <c r="B73" t="inlineStr">
        <is>
          <t>avverkningsanmälan</t>
        </is>
      </c>
      <c r="C73" t="inlineStr">
        <is>
          <t>Föryngringsavverkning</t>
        </is>
      </c>
      <c r="D73" s="1" t="n">
        <v>44708</v>
      </c>
      <c r="E73" s="1" t="n">
        <v>46218</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s="2" t="inlineStr"/>
    </row>
    <row r="74" ht="15" customHeight="1">
      <c r="A74" t="inlineStr">
        <is>
          <t>A 69178-2021</t>
        </is>
      </c>
      <c r="B74" t="inlineStr">
        <is>
          <t>avverkningsanmälan</t>
        </is>
      </c>
      <c r="C74" t="inlineStr">
        <is>
          <t>Föryngringsavverkning</t>
        </is>
      </c>
      <c r="D74" s="1" t="n">
        <v>44531</v>
      </c>
      <c r="E74" s="1" t="n">
        <v>46218</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s="2" t="inlineStr"/>
    </row>
    <row r="75" ht="15" customHeight="1">
      <c r="A75" t="inlineStr">
        <is>
          <t>A 43523-2021</t>
        </is>
      </c>
      <c r="B75" t="inlineStr">
        <is>
          <t>avverkningsanmälan</t>
        </is>
      </c>
      <c r="C75" t="inlineStr">
        <is>
          <t>Föryngringsavverkning</t>
        </is>
      </c>
      <c r="D75" s="1" t="n">
        <v>44432</v>
      </c>
      <c r="E75" s="1" t="n">
        <v>46218</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s="2" t="inlineStr"/>
    </row>
    <row r="76" ht="15" customHeight="1">
      <c r="A76" t="inlineStr">
        <is>
          <t>A 30677-2022</t>
        </is>
      </c>
      <c r="B76" t="inlineStr">
        <is>
          <t>avverkningsanmälan</t>
        </is>
      </c>
      <c r="C76" t="inlineStr">
        <is>
          <t>Föryngringsavverkning</t>
        </is>
      </c>
      <c r="D76" s="1" t="n">
        <v>44763</v>
      </c>
      <c r="E76" s="1" t="n">
        <v>46218</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s="2" t="inlineStr"/>
    </row>
    <row r="77" ht="15" customHeight="1">
      <c r="A77" t="inlineStr">
        <is>
          <t>A 66541-2021</t>
        </is>
      </c>
      <c r="B77" t="inlineStr">
        <is>
          <t>avverkningsanmälan</t>
        </is>
      </c>
      <c r="C77" t="inlineStr">
        <is>
          <t>Föryngringsavverkning</t>
        </is>
      </c>
      <c r="D77" s="1" t="n">
        <v>44519</v>
      </c>
      <c r="E77" s="1" t="n">
        <v>46218</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s="2" t="inlineStr"/>
    </row>
    <row r="78" ht="15" customHeight="1">
      <c r="A78" t="inlineStr">
        <is>
          <t>A 47763-2022</t>
        </is>
      </c>
      <c r="B78" t="inlineStr">
        <is>
          <t>avverkningsanmälan</t>
        </is>
      </c>
      <c r="C78" t="inlineStr">
        <is>
          <t>Föryngringsavverkning</t>
        </is>
      </c>
      <c r="D78" s="1" t="n">
        <v>44854</v>
      </c>
      <c r="E78" s="1" t="n">
        <v>46218</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s="2" t="inlineStr"/>
    </row>
    <row r="79" ht="15" customHeight="1">
      <c r="A79" t="inlineStr">
        <is>
          <t>A 22080-2022</t>
        </is>
      </c>
      <c r="B79" t="inlineStr">
        <is>
          <t>avverkningsanmälan</t>
        </is>
      </c>
      <c r="C79" t="inlineStr">
        <is>
          <t>Föryngringsavverkning</t>
        </is>
      </c>
      <c r="D79" s="1" t="n">
        <v>44711</v>
      </c>
      <c r="E79" s="1" t="n">
        <v>46218</v>
      </c>
      <c r="F79" t="inlineStr">
        <is>
          <t>SÖDERMANLANDS LÄN</t>
        </is>
      </c>
      <c r="G79" t="inlineStr">
        <is>
          <t>STRÄNGNÄS</t>
        </is>
      </c>
      <c r="I79" t="n">
        <v>0.9</v>
      </c>
      <c r="J79" t="n">
        <v>0</v>
      </c>
      <c r="K79" t="n">
        <v>0</v>
      </c>
      <c r="L79" t="n">
        <v>0</v>
      </c>
      <c r="M79" t="n">
        <v>0</v>
      </c>
      <c r="N79" t="n">
        <v>0</v>
      </c>
      <c r="O79" t="n">
        <v>0</v>
      </c>
      <c r="P79" t="n">
        <v>0</v>
      </c>
      <c r="Q79" t="n">
        <v>0</v>
      </c>
      <c r="R79" t="n">
        <v>0</v>
      </c>
      <c r="S79" t="n">
        <v>0</v>
      </c>
      <c r="T79" t="n">
        <v>0</v>
      </c>
      <c r="U79" s="2" t="inlineStr"/>
    </row>
    <row r="80" ht="15" customHeight="1">
      <c r="A80" t="inlineStr">
        <is>
          <t>A 63301-2021</t>
        </is>
      </c>
      <c r="B80" t="inlineStr">
        <is>
          <t>avverkningsanmälan</t>
        </is>
      </c>
      <c r="C80" t="inlineStr">
        <is>
          <t>Föryngringsavverkning</t>
        </is>
      </c>
      <c r="D80" s="1" t="n">
        <v>44505</v>
      </c>
      <c r="E80" s="1" t="n">
        <v>46218</v>
      </c>
      <c r="F80" t="inlineStr">
        <is>
          <t>SÖDERMANLANDS LÄN</t>
        </is>
      </c>
      <c r="G80" t="inlineStr">
        <is>
          <t>STRÄNGNÄS</t>
        </is>
      </c>
      <c r="I80" t="n">
        <v>11.6</v>
      </c>
      <c r="J80" t="n">
        <v>0</v>
      </c>
      <c r="K80" t="n">
        <v>0</v>
      </c>
      <c r="L80" t="n">
        <v>0</v>
      </c>
      <c r="M80" t="n">
        <v>0</v>
      </c>
      <c r="N80" t="n">
        <v>0</v>
      </c>
      <c r="O80" t="n">
        <v>0</v>
      </c>
      <c r="P80" t="n">
        <v>0</v>
      </c>
      <c r="Q80" t="n">
        <v>0</v>
      </c>
      <c r="R80" t="n">
        <v>0</v>
      </c>
      <c r="S80" t="n">
        <v>0</v>
      </c>
      <c r="T80" t="n">
        <v>0</v>
      </c>
      <c r="U80" s="2" t="inlineStr"/>
    </row>
    <row r="81" ht="15" customHeight="1">
      <c r="A81" t="inlineStr">
        <is>
          <t>A 53139-2022</t>
        </is>
      </c>
      <c r="B81" t="inlineStr">
        <is>
          <t>avverkningsanmälan</t>
        </is>
      </c>
      <c r="C81" t="inlineStr">
        <is>
          <t>Föryngringsavverkning</t>
        </is>
      </c>
      <c r="D81" s="1" t="n">
        <v>44873</v>
      </c>
      <c r="E81" s="1" t="n">
        <v>46218</v>
      </c>
      <c r="F81" t="inlineStr">
        <is>
          <t>SÖDERMANLANDS LÄN</t>
        </is>
      </c>
      <c r="G81" t="inlineStr">
        <is>
          <t>STRÄNGNÄS</t>
        </is>
      </c>
      <c r="I81" t="n">
        <v>6.2</v>
      </c>
      <c r="J81" t="n">
        <v>0</v>
      </c>
      <c r="K81" t="n">
        <v>0</v>
      </c>
      <c r="L81" t="n">
        <v>0</v>
      </c>
      <c r="M81" t="n">
        <v>0</v>
      </c>
      <c r="N81" t="n">
        <v>0</v>
      </c>
      <c r="O81" t="n">
        <v>0</v>
      </c>
      <c r="P81" t="n">
        <v>0</v>
      </c>
      <c r="Q81" t="n">
        <v>0</v>
      </c>
      <c r="R81" t="n">
        <v>0</v>
      </c>
      <c r="S81" t="n">
        <v>0</v>
      </c>
      <c r="T81" t="n">
        <v>0</v>
      </c>
      <c r="U81" s="2" t="inlineStr"/>
    </row>
    <row r="82" ht="15" customHeight="1">
      <c r="A82" t="inlineStr">
        <is>
          <t>A 67639-2021</t>
        </is>
      </c>
      <c r="B82" t="inlineStr">
        <is>
          <t>avverkningsanmälan</t>
        </is>
      </c>
      <c r="C82" t="inlineStr">
        <is>
          <t>Föryngringsavverkning</t>
        </is>
      </c>
      <c r="D82" s="1" t="n">
        <v>44524</v>
      </c>
      <c r="E82" s="1" t="n">
        <v>46218</v>
      </c>
      <c r="F82" t="inlineStr">
        <is>
          <t>SÖDERMANLANDS LÄN</t>
        </is>
      </c>
      <c r="G82" t="inlineStr">
        <is>
          <t>STRÄNGNÄS</t>
        </is>
      </c>
      <c r="I82" t="n">
        <v>0.1</v>
      </c>
      <c r="J82" t="n">
        <v>0</v>
      </c>
      <c r="K82" t="n">
        <v>0</v>
      </c>
      <c r="L82" t="n">
        <v>0</v>
      </c>
      <c r="M82" t="n">
        <v>0</v>
      </c>
      <c r="N82" t="n">
        <v>0</v>
      </c>
      <c r="O82" t="n">
        <v>0</v>
      </c>
      <c r="P82" t="n">
        <v>0</v>
      </c>
      <c r="Q82" t="n">
        <v>0</v>
      </c>
      <c r="R82" t="n">
        <v>0</v>
      </c>
      <c r="S82" t="n">
        <v>0</v>
      </c>
      <c r="T82" t="n">
        <v>0</v>
      </c>
      <c r="U82" s="2" t="inlineStr"/>
    </row>
    <row r="83" ht="15" customHeight="1">
      <c r="A83" t="inlineStr">
        <is>
          <t>A 22069-2022</t>
        </is>
      </c>
      <c r="B83" t="inlineStr">
        <is>
          <t>avverkningsanmälan</t>
        </is>
      </c>
      <c r="C83" t="inlineStr">
        <is>
          <t>Avverkning för annat ändamål</t>
        </is>
      </c>
      <c r="D83" s="1" t="n">
        <v>44711</v>
      </c>
      <c r="E83" s="1" t="n">
        <v>46218</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s="2" t="inlineStr"/>
    </row>
    <row r="84" ht="15" customHeight="1">
      <c r="A84" t="inlineStr">
        <is>
          <t>A 50709-2022</t>
        </is>
      </c>
      <c r="B84" t="inlineStr">
        <is>
          <t>avverkningsanmälan</t>
        </is>
      </c>
      <c r="C84" t="inlineStr">
        <is>
          <t>Föryngringsavverkning</t>
        </is>
      </c>
      <c r="D84" s="1" t="n">
        <v>44867</v>
      </c>
      <c r="E84" s="1" t="n">
        <v>46218</v>
      </c>
      <c r="F84" t="inlineStr">
        <is>
          <t>SÖDERMANLANDS LÄN</t>
        </is>
      </c>
      <c r="G84" t="inlineStr">
        <is>
          <t>STRÄNGNÄS</t>
        </is>
      </c>
      <c r="I84" t="n">
        <v>8</v>
      </c>
      <c r="J84" t="n">
        <v>0</v>
      </c>
      <c r="K84" t="n">
        <v>0</v>
      </c>
      <c r="L84" t="n">
        <v>0</v>
      </c>
      <c r="M84" t="n">
        <v>0</v>
      </c>
      <c r="N84" t="n">
        <v>0</v>
      </c>
      <c r="O84" t="n">
        <v>0</v>
      </c>
      <c r="P84" t="n">
        <v>0</v>
      </c>
      <c r="Q84" t="n">
        <v>0</v>
      </c>
      <c r="R84" t="n">
        <v>0</v>
      </c>
      <c r="S84" t="n">
        <v>0</v>
      </c>
      <c r="T84" t="n">
        <v>0</v>
      </c>
      <c r="U84" s="2" t="inlineStr"/>
    </row>
    <row r="85" ht="15" customHeight="1">
      <c r="A85" t="inlineStr">
        <is>
          <t>A 51815-2022</t>
        </is>
      </c>
      <c r="B85" t="inlineStr">
        <is>
          <t>avverkningsanmälan</t>
        </is>
      </c>
      <c r="C85" t="inlineStr">
        <is>
          <t>Föryngringsavverkning</t>
        </is>
      </c>
      <c r="D85" s="1" t="n">
        <v>44872</v>
      </c>
      <c r="E85" s="1" t="n">
        <v>46218</v>
      </c>
      <c r="F85" t="inlineStr">
        <is>
          <t>SÖDERMANLANDS LÄN</t>
        </is>
      </c>
      <c r="G85" t="inlineStr">
        <is>
          <t>STRÄNGNÄS</t>
        </is>
      </c>
      <c r="I85" t="n">
        <v>9.800000000000001</v>
      </c>
      <c r="J85" t="n">
        <v>0</v>
      </c>
      <c r="K85" t="n">
        <v>0</v>
      </c>
      <c r="L85" t="n">
        <v>0</v>
      </c>
      <c r="M85" t="n">
        <v>0</v>
      </c>
      <c r="N85" t="n">
        <v>0</v>
      </c>
      <c r="O85" t="n">
        <v>0</v>
      </c>
      <c r="P85" t="n">
        <v>0</v>
      </c>
      <c r="Q85" t="n">
        <v>0</v>
      </c>
      <c r="R85" t="n">
        <v>0</v>
      </c>
      <c r="S85" t="n">
        <v>0</v>
      </c>
      <c r="T85" t="n">
        <v>0</v>
      </c>
      <c r="U85" s="2" t="inlineStr"/>
    </row>
    <row r="86" ht="15" customHeight="1">
      <c r="A86" t="inlineStr">
        <is>
          <t>A 51772-2022</t>
        </is>
      </c>
      <c r="B86" t="inlineStr">
        <is>
          <t>avverkningsanmälan</t>
        </is>
      </c>
      <c r="C86" t="inlineStr">
        <is>
          <t>Föryngringsavverkning</t>
        </is>
      </c>
      <c r="D86" s="1" t="n">
        <v>44872</v>
      </c>
      <c r="E86" s="1" t="n">
        <v>46218</v>
      </c>
      <c r="F86" t="inlineStr">
        <is>
          <t>SÖDERMANLANDS LÄN</t>
        </is>
      </c>
      <c r="G86" t="inlineStr">
        <is>
          <t>STRÄNGNÄS</t>
        </is>
      </c>
      <c r="I86" t="n">
        <v>2.4</v>
      </c>
      <c r="J86" t="n">
        <v>0</v>
      </c>
      <c r="K86" t="n">
        <v>0</v>
      </c>
      <c r="L86" t="n">
        <v>0</v>
      </c>
      <c r="M86" t="n">
        <v>0</v>
      </c>
      <c r="N86" t="n">
        <v>0</v>
      </c>
      <c r="O86" t="n">
        <v>0</v>
      </c>
      <c r="P86" t="n">
        <v>0</v>
      </c>
      <c r="Q86" t="n">
        <v>0</v>
      </c>
      <c r="R86" t="n">
        <v>0</v>
      </c>
      <c r="S86" t="n">
        <v>0</v>
      </c>
      <c r="T86" t="n">
        <v>0</v>
      </c>
      <c r="U86" s="2" t="inlineStr"/>
    </row>
    <row r="87" ht="15" customHeight="1">
      <c r="A87" t="inlineStr">
        <is>
          <t>A 51762-2022</t>
        </is>
      </c>
      <c r="B87" t="inlineStr">
        <is>
          <t>avverkningsanmälan</t>
        </is>
      </c>
      <c r="C87" t="inlineStr">
        <is>
          <t>Föryngringsavverkning</t>
        </is>
      </c>
      <c r="D87" s="1" t="n">
        <v>44872</v>
      </c>
      <c r="E87" s="1" t="n">
        <v>46218</v>
      </c>
      <c r="F87" t="inlineStr">
        <is>
          <t>SÖDERMANLANDS LÄN</t>
        </is>
      </c>
      <c r="G87" t="inlineStr">
        <is>
          <t>STRÄNGNÄS</t>
        </is>
      </c>
      <c r="I87" t="n">
        <v>5.7</v>
      </c>
      <c r="J87" t="n">
        <v>0</v>
      </c>
      <c r="K87" t="n">
        <v>0</v>
      </c>
      <c r="L87" t="n">
        <v>0</v>
      </c>
      <c r="M87" t="n">
        <v>0</v>
      </c>
      <c r="N87" t="n">
        <v>0</v>
      </c>
      <c r="O87" t="n">
        <v>0</v>
      </c>
      <c r="P87" t="n">
        <v>0</v>
      </c>
      <c r="Q87" t="n">
        <v>0</v>
      </c>
      <c r="R87" t="n">
        <v>0</v>
      </c>
      <c r="S87" t="n">
        <v>0</v>
      </c>
      <c r="T87" t="n">
        <v>0</v>
      </c>
      <c r="U87" s="2" t="inlineStr"/>
    </row>
    <row r="88" ht="15" customHeight="1">
      <c r="A88" t="inlineStr">
        <is>
          <t>A 42103-2022</t>
        </is>
      </c>
      <c r="B88" t="inlineStr">
        <is>
          <t>avverkningsanmälan</t>
        </is>
      </c>
      <c r="C88" t="inlineStr">
        <is>
          <t>Föryngringsavverkning</t>
        </is>
      </c>
      <c r="D88" s="1" t="n">
        <v>44830</v>
      </c>
      <c r="E88" s="1" t="n">
        <v>46218</v>
      </c>
      <c r="F88" t="inlineStr">
        <is>
          <t>SÖDERMANLANDS LÄN</t>
        </is>
      </c>
      <c r="G88" t="inlineStr">
        <is>
          <t>STRÄNGNÄS</t>
        </is>
      </c>
      <c r="H88" t="inlineStr">
        <is>
          <t>Allmännings- och besparingsskogar</t>
        </is>
      </c>
      <c r="I88" t="n">
        <v>1.7</v>
      </c>
      <c r="J88" t="n">
        <v>0</v>
      </c>
      <c r="K88" t="n">
        <v>0</v>
      </c>
      <c r="L88" t="n">
        <v>0</v>
      </c>
      <c r="M88" t="n">
        <v>0</v>
      </c>
      <c r="N88" t="n">
        <v>0</v>
      </c>
      <c r="O88" t="n">
        <v>0</v>
      </c>
      <c r="P88" t="n">
        <v>0</v>
      </c>
      <c r="Q88" t="n">
        <v>0</v>
      </c>
      <c r="R88" t="n">
        <v>0</v>
      </c>
      <c r="S88" t="n">
        <v>0</v>
      </c>
      <c r="T88" t="n">
        <v>0</v>
      </c>
      <c r="U88" s="2" t="inlineStr"/>
    </row>
    <row r="89" ht="15" customHeight="1">
      <c r="A89" t="inlineStr">
        <is>
          <t>A 35814-2022</t>
        </is>
      </c>
      <c r="B89" t="inlineStr">
        <is>
          <t>avverkningsanmälan</t>
        </is>
      </c>
      <c r="C89" t="inlineStr">
        <is>
          <t>Föryngringsavverkning</t>
        </is>
      </c>
      <c r="D89" s="1" t="n">
        <v>44799</v>
      </c>
      <c r="E89" s="1" t="n">
        <v>46218</v>
      </c>
      <c r="F89" t="inlineStr">
        <is>
          <t>SÖDERMANLANDS LÄN</t>
        </is>
      </c>
      <c r="G89" t="inlineStr">
        <is>
          <t>STRÄNGNÄS</t>
        </is>
      </c>
      <c r="I89" t="n">
        <v>1</v>
      </c>
      <c r="J89" t="n">
        <v>0</v>
      </c>
      <c r="K89" t="n">
        <v>0</v>
      </c>
      <c r="L89" t="n">
        <v>0</v>
      </c>
      <c r="M89" t="n">
        <v>0</v>
      </c>
      <c r="N89" t="n">
        <v>0</v>
      </c>
      <c r="O89" t="n">
        <v>0</v>
      </c>
      <c r="P89" t="n">
        <v>0</v>
      </c>
      <c r="Q89" t="n">
        <v>0</v>
      </c>
      <c r="R89" t="n">
        <v>0</v>
      </c>
      <c r="S89" t="n">
        <v>0</v>
      </c>
      <c r="T89" t="n">
        <v>0</v>
      </c>
      <c r="U89" s="2" t="inlineStr"/>
    </row>
    <row r="90" ht="15" customHeight="1">
      <c r="A90" t="inlineStr">
        <is>
          <t>A 9607-2022</t>
        </is>
      </c>
      <c r="B90" t="inlineStr">
        <is>
          <t>avverkningsanmälan</t>
        </is>
      </c>
      <c r="C90" t="inlineStr">
        <is>
          <t>Föryngringsavverkning</t>
        </is>
      </c>
      <c r="D90" s="1" t="n">
        <v>44617</v>
      </c>
      <c r="E90" s="1" t="n">
        <v>46218</v>
      </c>
      <c r="F90" t="inlineStr">
        <is>
          <t>SÖDERMANLANDS LÄN</t>
        </is>
      </c>
      <c r="G90" t="inlineStr">
        <is>
          <t>STRÄNGNÄS</t>
        </is>
      </c>
      <c r="I90" t="n">
        <v>1.7</v>
      </c>
      <c r="J90" t="n">
        <v>0</v>
      </c>
      <c r="K90" t="n">
        <v>0</v>
      </c>
      <c r="L90" t="n">
        <v>0</v>
      </c>
      <c r="M90" t="n">
        <v>0</v>
      </c>
      <c r="N90" t="n">
        <v>0</v>
      </c>
      <c r="O90" t="n">
        <v>0</v>
      </c>
      <c r="P90" t="n">
        <v>0</v>
      </c>
      <c r="Q90" t="n">
        <v>0</v>
      </c>
      <c r="R90" t="n">
        <v>0</v>
      </c>
      <c r="S90" t="n">
        <v>0</v>
      </c>
      <c r="T90" t="n">
        <v>0</v>
      </c>
      <c r="U90" s="2" t="inlineStr"/>
    </row>
    <row r="91" ht="15" customHeight="1">
      <c r="A91" t="inlineStr">
        <is>
          <t>A 46586-2021</t>
        </is>
      </c>
      <c r="B91" t="inlineStr">
        <is>
          <t>avverkningsanmälan</t>
        </is>
      </c>
      <c r="C91" t="inlineStr">
        <is>
          <t>Föryngringsavverkning</t>
        </is>
      </c>
      <c r="D91" s="1" t="n">
        <v>44445</v>
      </c>
      <c r="E91" s="1" t="n">
        <v>46218</v>
      </c>
      <c r="F91" t="inlineStr">
        <is>
          <t>SÖDERMANLANDS LÄN</t>
        </is>
      </c>
      <c r="G91" t="inlineStr">
        <is>
          <t>STRÄNGNÄS</t>
        </is>
      </c>
      <c r="I91" t="n">
        <v>3.5</v>
      </c>
      <c r="J91" t="n">
        <v>0</v>
      </c>
      <c r="K91" t="n">
        <v>0</v>
      </c>
      <c r="L91" t="n">
        <v>0</v>
      </c>
      <c r="M91" t="n">
        <v>0</v>
      </c>
      <c r="N91" t="n">
        <v>0</v>
      </c>
      <c r="O91" t="n">
        <v>0</v>
      </c>
      <c r="P91" t="n">
        <v>0</v>
      </c>
      <c r="Q91" t="n">
        <v>0</v>
      </c>
      <c r="R91" t="n">
        <v>0</v>
      </c>
      <c r="S91" t="n">
        <v>0</v>
      </c>
      <c r="T91" t="n">
        <v>0</v>
      </c>
      <c r="U91" s="2" t="inlineStr"/>
    </row>
    <row r="92" ht="15" customHeight="1">
      <c r="A92" t="inlineStr">
        <is>
          <t>A 60398-2021</t>
        </is>
      </c>
      <c r="B92" t="inlineStr">
        <is>
          <t>avverkningsanmälan</t>
        </is>
      </c>
      <c r="C92" t="inlineStr">
        <is>
          <t>Föryngringsavverkning</t>
        </is>
      </c>
      <c r="D92" s="1" t="n">
        <v>44496</v>
      </c>
      <c r="E92" s="1" t="n">
        <v>46218</v>
      </c>
      <c r="F92" t="inlineStr">
        <is>
          <t>SÖDERMANLANDS LÄN</t>
        </is>
      </c>
      <c r="G92" t="inlineStr">
        <is>
          <t>STRÄNGNÄS</t>
        </is>
      </c>
      <c r="I92" t="n">
        <v>0.4</v>
      </c>
      <c r="J92" t="n">
        <v>0</v>
      </c>
      <c r="K92" t="n">
        <v>0</v>
      </c>
      <c r="L92" t="n">
        <v>0</v>
      </c>
      <c r="M92" t="n">
        <v>0</v>
      </c>
      <c r="N92" t="n">
        <v>0</v>
      </c>
      <c r="O92" t="n">
        <v>0</v>
      </c>
      <c r="P92" t="n">
        <v>0</v>
      </c>
      <c r="Q92" t="n">
        <v>0</v>
      </c>
      <c r="R92" t="n">
        <v>0</v>
      </c>
      <c r="S92" t="n">
        <v>0</v>
      </c>
      <c r="T92" t="n">
        <v>0</v>
      </c>
      <c r="U92" s="2" t="inlineStr"/>
    </row>
    <row r="93" ht="15" customHeight="1">
      <c r="A93" t="inlineStr">
        <is>
          <t>A 33492-2022</t>
        </is>
      </c>
      <c r="B93" t="inlineStr">
        <is>
          <t>avverkningsanmälan</t>
        </is>
      </c>
      <c r="C93" t="inlineStr">
        <is>
          <t>Avverkning för annat ändamål</t>
        </is>
      </c>
      <c r="D93" s="1" t="n">
        <v>44788</v>
      </c>
      <c r="E93" s="1" t="n">
        <v>46218</v>
      </c>
      <c r="F93" t="inlineStr">
        <is>
          <t>SÖDERMANLANDS LÄN</t>
        </is>
      </c>
      <c r="G93" t="inlineStr">
        <is>
          <t>STRÄNGNÄS</t>
        </is>
      </c>
      <c r="I93" t="n">
        <v>0.3</v>
      </c>
      <c r="J93" t="n">
        <v>0</v>
      </c>
      <c r="K93" t="n">
        <v>0</v>
      </c>
      <c r="L93" t="n">
        <v>0</v>
      </c>
      <c r="M93" t="n">
        <v>0</v>
      </c>
      <c r="N93" t="n">
        <v>0</v>
      </c>
      <c r="O93" t="n">
        <v>0</v>
      </c>
      <c r="P93" t="n">
        <v>0</v>
      </c>
      <c r="Q93" t="n">
        <v>0</v>
      </c>
      <c r="R93" t="n">
        <v>0</v>
      </c>
      <c r="S93" t="n">
        <v>0</v>
      </c>
      <c r="T93" t="n">
        <v>0</v>
      </c>
      <c r="U93" s="2" t="inlineStr"/>
    </row>
    <row r="94" ht="15" customHeight="1">
      <c r="A94" t="inlineStr">
        <is>
          <t>A 9234-2023</t>
        </is>
      </c>
      <c r="B94" t="inlineStr">
        <is>
          <t>avverkningsanmälan</t>
        </is>
      </c>
      <c r="C94" t="inlineStr">
        <is>
          <t>Föryngringsavverkning</t>
        </is>
      </c>
      <c r="D94" s="1" t="n">
        <v>44980</v>
      </c>
      <c r="E94" s="1" t="n">
        <v>46218</v>
      </c>
      <c r="F94" t="inlineStr">
        <is>
          <t>SÖDERMANLANDS LÄN</t>
        </is>
      </c>
      <c r="G94" t="inlineStr">
        <is>
          <t>STRÄNGNÄS</t>
        </is>
      </c>
      <c r="I94" t="n">
        <v>3.7</v>
      </c>
      <c r="J94" t="n">
        <v>0</v>
      </c>
      <c r="K94" t="n">
        <v>0</v>
      </c>
      <c r="L94" t="n">
        <v>0</v>
      </c>
      <c r="M94" t="n">
        <v>0</v>
      </c>
      <c r="N94" t="n">
        <v>0</v>
      </c>
      <c r="O94" t="n">
        <v>0</v>
      </c>
      <c r="P94" t="n">
        <v>0</v>
      </c>
      <c r="Q94" t="n">
        <v>0</v>
      </c>
      <c r="R94" t="n">
        <v>0</v>
      </c>
      <c r="S94" t="n">
        <v>0</v>
      </c>
      <c r="T94" t="n">
        <v>0</v>
      </c>
      <c r="U94" s="2" t="inlineStr"/>
    </row>
    <row r="95" ht="15" customHeight="1">
      <c r="A95" t="inlineStr">
        <is>
          <t>A 9701-2022</t>
        </is>
      </c>
      <c r="B95" t="inlineStr">
        <is>
          <t>avverkningsanmälan</t>
        </is>
      </c>
      <c r="C95" t="inlineStr">
        <is>
          <t>Föryngringsavverkning</t>
        </is>
      </c>
      <c r="D95" s="1" t="n">
        <v>44617</v>
      </c>
      <c r="E95" s="1" t="n">
        <v>46218</v>
      </c>
      <c r="F95" t="inlineStr">
        <is>
          <t>SÖDERMANLANDS LÄN</t>
        </is>
      </c>
      <c r="G95" t="inlineStr">
        <is>
          <t>STRÄNGNÄS</t>
        </is>
      </c>
      <c r="I95" t="n">
        <v>1.1</v>
      </c>
      <c r="J95" t="n">
        <v>0</v>
      </c>
      <c r="K95" t="n">
        <v>0</v>
      </c>
      <c r="L95" t="n">
        <v>0</v>
      </c>
      <c r="M95" t="n">
        <v>0</v>
      </c>
      <c r="N95" t="n">
        <v>0</v>
      </c>
      <c r="O95" t="n">
        <v>0</v>
      </c>
      <c r="P95" t="n">
        <v>0</v>
      </c>
      <c r="Q95" t="n">
        <v>0</v>
      </c>
      <c r="R95" t="n">
        <v>0</v>
      </c>
      <c r="S95" t="n">
        <v>0</v>
      </c>
      <c r="T95" t="n">
        <v>0</v>
      </c>
      <c r="U95" s="2" t="inlineStr"/>
    </row>
    <row r="96" ht="15" customHeight="1">
      <c r="A96" t="inlineStr">
        <is>
          <t>A 70934-2021</t>
        </is>
      </c>
      <c r="B96" t="inlineStr">
        <is>
          <t>avverkningsanmälan</t>
        </is>
      </c>
      <c r="C96" t="inlineStr">
        <is>
          <t>Föryngringsavverkning</t>
        </is>
      </c>
      <c r="D96" s="1" t="n">
        <v>44537</v>
      </c>
      <c r="E96" s="1" t="n">
        <v>46218</v>
      </c>
      <c r="F96" t="inlineStr">
        <is>
          <t>SÖDERMANLANDS LÄN</t>
        </is>
      </c>
      <c r="G96" t="inlineStr">
        <is>
          <t>STRÄNGNÄS</t>
        </is>
      </c>
      <c r="I96" t="n">
        <v>2.3</v>
      </c>
      <c r="J96" t="n">
        <v>0</v>
      </c>
      <c r="K96" t="n">
        <v>0</v>
      </c>
      <c r="L96" t="n">
        <v>0</v>
      </c>
      <c r="M96" t="n">
        <v>0</v>
      </c>
      <c r="N96" t="n">
        <v>0</v>
      </c>
      <c r="O96" t="n">
        <v>0</v>
      </c>
      <c r="P96" t="n">
        <v>0</v>
      </c>
      <c r="Q96" t="n">
        <v>0</v>
      </c>
      <c r="R96" t="n">
        <v>0</v>
      </c>
      <c r="S96" t="n">
        <v>0</v>
      </c>
      <c r="T96" t="n">
        <v>0</v>
      </c>
      <c r="U96" s="2" t="inlineStr"/>
    </row>
    <row r="97" ht="15" customHeight="1">
      <c r="A97" t="inlineStr">
        <is>
          <t>A 21526-2022</t>
        </is>
      </c>
      <c r="B97" t="inlineStr">
        <is>
          <t>avverkningsanmälan</t>
        </is>
      </c>
      <c r="C97" t="inlineStr">
        <is>
          <t>Föryngringsavverkning</t>
        </is>
      </c>
      <c r="D97" s="1" t="n">
        <v>44706</v>
      </c>
      <c r="E97" s="1" t="n">
        <v>46218</v>
      </c>
      <c r="F97" t="inlineStr">
        <is>
          <t>SÖDERMANLANDS LÄN</t>
        </is>
      </c>
      <c r="G97" t="inlineStr">
        <is>
          <t>STRÄNGNÄS</t>
        </is>
      </c>
      <c r="H97" t="inlineStr">
        <is>
          <t>Allmännings- och besparingsskogar</t>
        </is>
      </c>
      <c r="I97" t="n">
        <v>1</v>
      </c>
      <c r="J97" t="n">
        <v>0</v>
      </c>
      <c r="K97" t="n">
        <v>0</v>
      </c>
      <c r="L97" t="n">
        <v>0</v>
      </c>
      <c r="M97" t="n">
        <v>0</v>
      </c>
      <c r="N97" t="n">
        <v>0</v>
      </c>
      <c r="O97" t="n">
        <v>0</v>
      </c>
      <c r="P97" t="n">
        <v>0</v>
      </c>
      <c r="Q97" t="n">
        <v>0</v>
      </c>
      <c r="R97" t="n">
        <v>0</v>
      </c>
      <c r="S97" t="n">
        <v>0</v>
      </c>
      <c r="T97" t="n">
        <v>0</v>
      </c>
      <c r="U97" s="2" t="inlineStr"/>
    </row>
    <row r="98" ht="15" customHeight="1">
      <c r="A98" t="inlineStr">
        <is>
          <t>A 9158-2022</t>
        </is>
      </c>
      <c r="B98" t="inlineStr">
        <is>
          <t>avverkningsanmälan</t>
        </is>
      </c>
      <c r="C98" t="inlineStr">
        <is>
          <t>Föryngringsavverkning</t>
        </is>
      </c>
      <c r="D98" s="1" t="n">
        <v>44615</v>
      </c>
      <c r="E98" s="1" t="n">
        <v>46218</v>
      </c>
      <c r="F98" t="inlineStr">
        <is>
          <t>SÖDERMANLANDS LÄN</t>
        </is>
      </c>
      <c r="G98" t="inlineStr">
        <is>
          <t>STRÄNGNÄS</t>
        </is>
      </c>
      <c r="I98" t="n">
        <v>3.3</v>
      </c>
      <c r="J98" t="n">
        <v>0</v>
      </c>
      <c r="K98" t="n">
        <v>0</v>
      </c>
      <c r="L98" t="n">
        <v>0</v>
      </c>
      <c r="M98" t="n">
        <v>0</v>
      </c>
      <c r="N98" t="n">
        <v>0</v>
      </c>
      <c r="O98" t="n">
        <v>0</v>
      </c>
      <c r="P98" t="n">
        <v>0</v>
      </c>
      <c r="Q98" t="n">
        <v>0</v>
      </c>
      <c r="R98" t="n">
        <v>0</v>
      </c>
      <c r="S98" t="n">
        <v>0</v>
      </c>
      <c r="T98" t="n">
        <v>0</v>
      </c>
      <c r="U98" s="2" t="inlineStr"/>
    </row>
    <row r="99" ht="15" customHeight="1">
      <c r="A99" t="inlineStr">
        <is>
          <t>A 38332-2021</t>
        </is>
      </c>
      <c r="B99" t="inlineStr">
        <is>
          <t>avverkningsanmälan</t>
        </is>
      </c>
      <c r="C99" t="inlineStr">
        <is>
          <t>Föryngringsavverkning</t>
        </is>
      </c>
      <c r="D99" s="1" t="n">
        <v>44406</v>
      </c>
      <c r="E99" s="1" t="n">
        <v>46218</v>
      </c>
      <c r="F99" t="inlineStr">
        <is>
          <t>SÖDERMANLANDS LÄN</t>
        </is>
      </c>
      <c r="G99" t="inlineStr">
        <is>
          <t>STRÄNGNÄS</t>
        </is>
      </c>
      <c r="I99" t="n">
        <v>2.6</v>
      </c>
      <c r="J99" t="n">
        <v>0</v>
      </c>
      <c r="K99" t="n">
        <v>0</v>
      </c>
      <c r="L99" t="n">
        <v>0</v>
      </c>
      <c r="M99" t="n">
        <v>0</v>
      </c>
      <c r="N99" t="n">
        <v>0</v>
      </c>
      <c r="O99" t="n">
        <v>0</v>
      </c>
      <c r="P99" t="n">
        <v>0</v>
      </c>
      <c r="Q99" t="n">
        <v>0</v>
      </c>
      <c r="R99" t="n">
        <v>0</v>
      </c>
      <c r="S99" t="n">
        <v>0</v>
      </c>
      <c r="T99" t="n">
        <v>0</v>
      </c>
      <c r="U99" s="2" t="inlineStr"/>
    </row>
    <row r="100" ht="15" customHeight="1">
      <c r="A100" t="inlineStr">
        <is>
          <t>A 65160-2023</t>
        </is>
      </c>
      <c r="B100" t="inlineStr">
        <is>
          <t>avverkningsanmälan</t>
        </is>
      </c>
      <c r="C100" t="inlineStr">
        <is>
          <t>Föryngringsavverkning</t>
        </is>
      </c>
      <c r="D100" s="1" t="n">
        <v>45288</v>
      </c>
      <c r="E100" s="1" t="n">
        <v>46218</v>
      </c>
      <c r="F100" t="inlineStr">
        <is>
          <t>SÖDERMANLANDS LÄN</t>
        </is>
      </c>
      <c r="G100" t="inlineStr">
        <is>
          <t>STRÄNGNÄS</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65163-2023</t>
        </is>
      </c>
      <c r="B101" t="inlineStr">
        <is>
          <t>avverkningsanmälan</t>
        </is>
      </c>
      <c r="C101" t="inlineStr">
        <is>
          <t>Föryngringsavverkning</t>
        </is>
      </c>
      <c r="D101" s="1" t="n">
        <v>45288</v>
      </c>
      <c r="E101" s="1" t="n">
        <v>46218</v>
      </c>
      <c r="F101" t="inlineStr">
        <is>
          <t>SÖDERMANLANDS LÄN</t>
        </is>
      </c>
      <c r="G101" t="inlineStr">
        <is>
          <t>STRÄNGNÄS</t>
        </is>
      </c>
      <c r="I101" t="n">
        <v>2.5</v>
      </c>
      <c r="J101" t="n">
        <v>0</v>
      </c>
      <c r="K101" t="n">
        <v>0</v>
      </c>
      <c r="L101" t="n">
        <v>0</v>
      </c>
      <c r="M101" t="n">
        <v>0</v>
      </c>
      <c r="N101" t="n">
        <v>0</v>
      </c>
      <c r="O101" t="n">
        <v>0</v>
      </c>
      <c r="P101" t="n">
        <v>0</v>
      </c>
      <c r="Q101" t="n">
        <v>0</v>
      </c>
      <c r="R101" t="n">
        <v>0</v>
      </c>
      <c r="S101" t="n">
        <v>0</v>
      </c>
      <c r="T101" t="n">
        <v>0</v>
      </c>
      <c r="U101" s="2" t="inlineStr"/>
    </row>
    <row r="102" ht="15" customHeight="1">
      <c r="A102" t="inlineStr">
        <is>
          <t>A 13807-2023</t>
        </is>
      </c>
      <c r="B102" t="inlineStr">
        <is>
          <t>avverkningsanmälan</t>
        </is>
      </c>
      <c r="C102" t="inlineStr">
        <is>
          <t>Föryngringsavverkning</t>
        </is>
      </c>
      <c r="D102" s="1" t="n">
        <v>45007</v>
      </c>
      <c r="E102" s="1" t="n">
        <v>46218</v>
      </c>
      <c r="F102" t="inlineStr">
        <is>
          <t>SÖDERMANLANDS LÄN</t>
        </is>
      </c>
      <c r="G102" t="inlineStr">
        <is>
          <t>STRÄNGNÄS</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21015-2023</t>
        </is>
      </c>
      <c r="B103" t="inlineStr">
        <is>
          <t>avverkningsanmälan</t>
        </is>
      </c>
      <c r="C103" t="inlineStr">
        <is>
          <t>Föryngringsavverkning</t>
        </is>
      </c>
      <c r="D103" s="1" t="n">
        <v>45056</v>
      </c>
      <c r="E103" s="1" t="n">
        <v>46218</v>
      </c>
      <c r="F103" t="inlineStr">
        <is>
          <t>SÖDERMANLANDS LÄN</t>
        </is>
      </c>
      <c r="G103" t="inlineStr">
        <is>
          <t>STRÄNGNÄS</t>
        </is>
      </c>
      <c r="I103" t="n">
        <v>5.2</v>
      </c>
      <c r="J103" t="n">
        <v>0</v>
      </c>
      <c r="K103" t="n">
        <v>0</v>
      </c>
      <c r="L103" t="n">
        <v>0</v>
      </c>
      <c r="M103" t="n">
        <v>0</v>
      </c>
      <c r="N103" t="n">
        <v>0</v>
      </c>
      <c r="O103" t="n">
        <v>0</v>
      </c>
      <c r="P103" t="n">
        <v>0</v>
      </c>
      <c r="Q103" t="n">
        <v>0</v>
      </c>
      <c r="R103" t="n">
        <v>0</v>
      </c>
      <c r="S103" t="n">
        <v>0</v>
      </c>
      <c r="T103" t="n">
        <v>0</v>
      </c>
      <c r="U103" s="2" t="inlineStr"/>
    </row>
    <row r="104" ht="15" customHeight="1">
      <c r="A104" t="inlineStr">
        <is>
          <t>A 53897-2022</t>
        </is>
      </c>
      <c r="B104" t="inlineStr">
        <is>
          <t>avverkningsanmälan</t>
        </is>
      </c>
      <c r="C104" t="inlineStr">
        <is>
          <t>Föryngringsavverkning</t>
        </is>
      </c>
      <c r="D104" s="1" t="n">
        <v>44880</v>
      </c>
      <c r="E104" s="1" t="n">
        <v>46218</v>
      </c>
      <c r="F104" t="inlineStr">
        <is>
          <t>SÖDERMANLANDS LÄN</t>
        </is>
      </c>
      <c r="G104" t="inlineStr">
        <is>
          <t>STRÄNGNÄS</t>
        </is>
      </c>
      <c r="I104" t="n">
        <v>3.3</v>
      </c>
      <c r="J104" t="n">
        <v>0</v>
      </c>
      <c r="K104" t="n">
        <v>0</v>
      </c>
      <c r="L104" t="n">
        <v>0</v>
      </c>
      <c r="M104" t="n">
        <v>0</v>
      </c>
      <c r="N104" t="n">
        <v>0</v>
      </c>
      <c r="O104" t="n">
        <v>0</v>
      </c>
      <c r="P104" t="n">
        <v>0</v>
      </c>
      <c r="Q104" t="n">
        <v>0</v>
      </c>
      <c r="R104" t="n">
        <v>0</v>
      </c>
      <c r="S104" t="n">
        <v>0</v>
      </c>
      <c r="T104" t="n">
        <v>0</v>
      </c>
      <c r="U104" s="2" t="inlineStr"/>
    </row>
    <row r="105" ht="15" customHeight="1">
      <c r="A105" t="inlineStr">
        <is>
          <t>A 6057-2025</t>
        </is>
      </c>
      <c r="B105" t="inlineStr">
        <is>
          <t>avverkningsanmälan</t>
        </is>
      </c>
      <c r="C105" t="inlineStr">
        <is>
          <t>Föryngringsavverkning</t>
        </is>
      </c>
      <c r="D105" s="1" t="n">
        <v>45695</v>
      </c>
      <c r="E105" s="1" t="n">
        <v>46218</v>
      </c>
      <c r="F105" t="inlineStr">
        <is>
          <t>SÖDERMANLANDS LÄN</t>
        </is>
      </c>
      <c r="G105" t="inlineStr">
        <is>
          <t>STRÄNGNÄS</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71391-2021</t>
        </is>
      </c>
      <c r="B106" t="inlineStr">
        <is>
          <t>avverkningsanmälan</t>
        </is>
      </c>
      <c r="C106" t="inlineStr">
        <is>
          <t>Föryngringsavverkning</t>
        </is>
      </c>
      <c r="D106" s="1" t="n">
        <v>44540</v>
      </c>
      <c r="E106" s="1" t="n">
        <v>46218</v>
      </c>
      <c r="F106" t="inlineStr">
        <is>
          <t>SÖDERMANLANDS LÄN</t>
        </is>
      </c>
      <c r="G106" t="inlineStr">
        <is>
          <t>STRÄNGNÄS</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58238-2022</t>
        </is>
      </c>
      <c r="B107" t="inlineStr">
        <is>
          <t>avverkningsanmälan</t>
        </is>
      </c>
      <c r="C107" t="inlineStr">
        <is>
          <t>Föryngringsavverkning</t>
        </is>
      </c>
      <c r="D107" s="1" t="n">
        <v>44901</v>
      </c>
      <c r="E107" s="1" t="n">
        <v>46218</v>
      </c>
      <c r="F107" t="inlineStr">
        <is>
          <t>SÖDERMANLANDS LÄN</t>
        </is>
      </c>
      <c r="G107" t="inlineStr">
        <is>
          <t>STRÄNGNÄS</t>
        </is>
      </c>
      <c r="I107" t="n">
        <v>1.9</v>
      </c>
      <c r="J107" t="n">
        <v>0</v>
      </c>
      <c r="K107" t="n">
        <v>0</v>
      </c>
      <c r="L107" t="n">
        <v>0</v>
      </c>
      <c r="M107" t="n">
        <v>0</v>
      </c>
      <c r="N107" t="n">
        <v>0</v>
      </c>
      <c r="O107" t="n">
        <v>0</v>
      </c>
      <c r="P107" t="n">
        <v>0</v>
      </c>
      <c r="Q107" t="n">
        <v>0</v>
      </c>
      <c r="R107" t="n">
        <v>0</v>
      </c>
      <c r="S107" t="n">
        <v>0</v>
      </c>
      <c r="T107" t="n">
        <v>0</v>
      </c>
      <c r="U107" s="2" t="inlineStr"/>
    </row>
    <row r="108" ht="15" customHeight="1">
      <c r="A108" t="inlineStr">
        <is>
          <t>A 11690-2023</t>
        </is>
      </c>
      <c r="B108" t="inlineStr">
        <is>
          <t>avverkningsanmälan</t>
        </is>
      </c>
      <c r="C108" t="inlineStr">
        <is>
          <t>Föryngringsavverkning</t>
        </is>
      </c>
      <c r="D108" s="1" t="n">
        <v>44992</v>
      </c>
      <c r="E108" s="1" t="n">
        <v>46218</v>
      </c>
      <c r="F108" t="inlineStr">
        <is>
          <t>SÖDERMANLANDS LÄN</t>
        </is>
      </c>
      <c r="G108" t="inlineStr">
        <is>
          <t>STRÄNGNÄS</t>
        </is>
      </c>
      <c r="I108" t="n">
        <v>3.8</v>
      </c>
      <c r="J108" t="n">
        <v>0</v>
      </c>
      <c r="K108" t="n">
        <v>0</v>
      </c>
      <c r="L108" t="n">
        <v>0</v>
      </c>
      <c r="M108" t="n">
        <v>0</v>
      </c>
      <c r="N108" t="n">
        <v>0</v>
      </c>
      <c r="O108" t="n">
        <v>0</v>
      </c>
      <c r="P108" t="n">
        <v>0</v>
      </c>
      <c r="Q108" t="n">
        <v>0</v>
      </c>
      <c r="R108" t="n">
        <v>0</v>
      </c>
      <c r="S108" t="n">
        <v>0</v>
      </c>
      <c r="T108" t="n">
        <v>0</v>
      </c>
      <c r="U108" s="2" t="inlineStr"/>
    </row>
    <row r="109" ht="15" customHeight="1">
      <c r="A109" t="inlineStr">
        <is>
          <t>A 11281-2025</t>
        </is>
      </c>
      <c r="B109" t="inlineStr">
        <is>
          <t>avverkningsanmälan</t>
        </is>
      </c>
      <c r="C109" t="inlineStr">
        <is>
          <t>Föryngringsavverkning</t>
        </is>
      </c>
      <c r="D109" s="1" t="n">
        <v>45726</v>
      </c>
      <c r="E109" s="1" t="n">
        <v>46218</v>
      </c>
      <c r="F109" t="inlineStr">
        <is>
          <t>SÖDERMANLANDS LÄN</t>
        </is>
      </c>
      <c r="G109" t="inlineStr">
        <is>
          <t>STRÄNGNÄS</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64355-2023</t>
        </is>
      </c>
      <c r="B110" t="inlineStr">
        <is>
          <t>avverkningsanmälan</t>
        </is>
      </c>
      <c r="C110" t="inlineStr">
        <is>
          <t>Föryngringsavverkning</t>
        </is>
      </c>
      <c r="D110" s="1" t="n">
        <v>45280</v>
      </c>
      <c r="E110" s="1" t="n">
        <v>46218</v>
      </c>
      <c r="F110" t="inlineStr">
        <is>
          <t>SÖDERMANLANDS LÄN</t>
        </is>
      </c>
      <c r="G110" t="inlineStr">
        <is>
          <t>STRÄNGNÄS</t>
        </is>
      </c>
      <c r="I110" t="n">
        <v>5.9</v>
      </c>
      <c r="J110" t="n">
        <v>0</v>
      </c>
      <c r="K110" t="n">
        <v>0</v>
      </c>
      <c r="L110" t="n">
        <v>0</v>
      </c>
      <c r="M110" t="n">
        <v>0</v>
      </c>
      <c r="N110" t="n">
        <v>0</v>
      </c>
      <c r="O110" t="n">
        <v>0</v>
      </c>
      <c r="P110" t="n">
        <v>0</v>
      </c>
      <c r="Q110" t="n">
        <v>0</v>
      </c>
      <c r="R110" t="n">
        <v>0</v>
      </c>
      <c r="S110" t="n">
        <v>0</v>
      </c>
      <c r="T110" t="n">
        <v>0</v>
      </c>
      <c r="U110" s="2" t="inlineStr"/>
    </row>
    <row r="111" ht="15" customHeight="1">
      <c r="A111" t="inlineStr">
        <is>
          <t>A 42777-2023</t>
        </is>
      </c>
      <c r="B111" t="inlineStr">
        <is>
          <t>avverkningsanmälan</t>
        </is>
      </c>
      <c r="C111" t="inlineStr">
        <is>
          <t>Föryngringsavverkning</t>
        </is>
      </c>
      <c r="D111" s="1" t="n">
        <v>45177</v>
      </c>
      <c r="E111" s="1" t="n">
        <v>46218</v>
      </c>
      <c r="F111" t="inlineStr">
        <is>
          <t>SÖDERMANLANDS LÄN</t>
        </is>
      </c>
      <c r="G111" t="inlineStr">
        <is>
          <t>STRÄNGNÄS</t>
        </is>
      </c>
      <c r="H111" t="inlineStr">
        <is>
          <t>Övriga statliga verk och myndigheter</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20506-2022</t>
        </is>
      </c>
      <c r="B112" t="inlineStr">
        <is>
          <t>avverkningsanmälan</t>
        </is>
      </c>
      <c r="C112" t="inlineStr">
        <is>
          <t>Föryngringsavverkning</t>
        </is>
      </c>
      <c r="D112" s="1" t="n">
        <v>44699</v>
      </c>
      <c r="E112" s="1" t="n">
        <v>46218</v>
      </c>
      <c r="F112" t="inlineStr">
        <is>
          <t>SÖDERMANLANDS LÄN</t>
        </is>
      </c>
      <c r="G112" t="inlineStr">
        <is>
          <t>STRÄNGNÄS</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33342-2023</t>
        </is>
      </c>
      <c r="B113" t="inlineStr">
        <is>
          <t>avverkningsanmälan</t>
        </is>
      </c>
      <c r="C113" t="inlineStr">
        <is>
          <t>Föryngringsavverkning</t>
        </is>
      </c>
      <c r="D113" s="1" t="n">
        <v>45128</v>
      </c>
      <c r="E113" s="1" t="n">
        <v>46218</v>
      </c>
      <c r="F113" t="inlineStr">
        <is>
          <t>SÖDERMANLANDS LÄN</t>
        </is>
      </c>
      <c r="G113" t="inlineStr">
        <is>
          <t>STRÄNGNÄS</t>
        </is>
      </c>
      <c r="I113" t="n">
        <v>3.1</v>
      </c>
      <c r="J113" t="n">
        <v>0</v>
      </c>
      <c r="K113" t="n">
        <v>0</v>
      </c>
      <c r="L113" t="n">
        <v>0</v>
      </c>
      <c r="M113" t="n">
        <v>0</v>
      </c>
      <c r="N113" t="n">
        <v>0</v>
      </c>
      <c r="O113" t="n">
        <v>0</v>
      </c>
      <c r="P113" t="n">
        <v>0</v>
      </c>
      <c r="Q113" t="n">
        <v>0</v>
      </c>
      <c r="R113" t="n">
        <v>0</v>
      </c>
      <c r="S113" t="n">
        <v>0</v>
      </c>
      <c r="T113" t="n">
        <v>0</v>
      </c>
      <c r="U113" s="2" t="inlineStr"/>
    </row>
    <row r="114" ht="15" customHeight="1">
      <c r="A114" t="inlineStr">
        <is>
          <t>A 1117-2022</t>
        </is>
      </c>
      <c r="B114" t="inlineStr">
        <is>
          <t>avverkningsanmälan</t>
        </is>
      </c>
      <c r="C114" t="inlineStr">
        <is>
          <t>Föryngringsavverkning</t>
        </is>
      </c>
      <c r="D114" s="1" t="n">
        <v>44571</v>
      </c>
      <c r="E114" s="1" t="n">
        <v>46218</v>
      </c>
      <c r="F114" t="inlineStr">
        <is>
          <t>SÖDERMANLANDS LÄN</t>
        </is>
      </c>
      <c r="G114" t="inlineStr">
        <is>
          <t>STRÄNGNÄS</t>
        </is>
      </c>
      <c r="I114" t="n">
        <v>2.5</v>
      </c>
      <c r="J114" t="n">
        <v>0</v>
      </c>
      <c r="K114" t="n">
        <v>0</v>
      </c>
      <c r="L114" t="n">
        <v>0</v>
      </c>
      <c r="M114" t="n">
        <v>0</v>
      </c>
      <c r="N114" t="n">
        <v>0</v>
      </c>
      <c r="O114" t="n">
        <v>0</v>
      </c>
      <c r="P114" t="n">
        <v>0</v>
      </c>
      <c r="Q114" t="n">
        <v>0</v>
      </c>
      <c r="R114" t="n">
        <v>0</v>
      </c>
      <c r="S114" t="n">
        <v>0</v>
      </c>
      <c r="T114" t="n">
        <v>0</v>
      </c>
      <c r="U114" s="2" t="inlineStr"/>
    </row>
    <row r="115" ht="15" customHeight="1">
      <c r="A115" t="inlineStr">
        <is>
          <t>A 59060-2022</t>
        </is>
      </c>
      <c r="B115" t="inlineStr">
        <is>
          <t>avverkningsanmälan</t>
        </is>
      </c>
      <c r="C115" t="inlineStr">
        <is>
          <t>Föryngringsavverkning</t>
        </is>
      </c>
      <c r="D115" s="1" t="n">
        <v>44904</v>
      </c>
      <c r="E115" s="1" t="n">
        <v>46218</v>
      </c>
      <c r="F115" t="inlineStr">
        <is>
          <t>SÖDERMANLANDS LÄN</t>
        </is>
      </c>
      <c r="G115" t="inlineStr">
        <is>
          <t>STRÄNGNÄS</t>
        </is>
      </c>
      <c r="I115" t="n">
        <v>3</v>
      </c>
      <c r="J115" t="n">
        <v>0</v>
      </c>
      <c r="K115" t="n">
        <v>0</v>
      </c>
      <c r="L115" t="n">
        <v>0</v>
      </c>
      <c r="M115" t="n">
        <v>0</v>
      </c>
      <c r="N115" t="n">
        <v>0</v>
      </c>
      <c r="O115" t="n">
        <v>0</v>
      </c>
      <c r="P115" t="n">
        <v>0</v>
      </c>
      <c r="Q115" t="n">
        <v>0</v>
      </c>
      <c r="R115" t="n">
        <v>0</v>
      </c>
      <c r="S115" t="n">
        <v>0</v>
      </c>
      <c r="T115" t="n">
        <v>0</v>
      </c>
      <c r="U115" s="2" t="inlineStr"/>
    </row>
    <row r="116" ht="15" customHeight="1">
      <c r="A116" t="inlineStr">
        <is>
          <t>A 9511-2022</t>
        </is>
      </c>
      <c r="B116" t="inlineStr">
        <is>
          <t>avverkningsanmälan</t>
        </is>
      </c>
      <c r="C116" t="inlineStr">
        <is>
          <t>Föryngringsavverkning</t>
        </is>
      </c>
      <c r="D116" s="1" t="n">
        <v>44616</v>
      </c>
      <c r="E116" s="1" t="n">
        <v>46218</v>
      </c>
      <c r="F116" t="inlineStr">
        <is>
          <t>SÖDERMANLANDS LÄN</t>
        </is>
      </c>
      <c r="G116" t="inlineStr">
        <is>
          <t>STRÄNGNÄS</t>
        </is>
      </c>
      <c r="I116" t="n">
        <v>5.3</v>
      </c>
      <c r="J116" t="n">
        <v>0</v>
      </c>
      <c r="K116" t="n">
        <v>0</v>
      </c>
      <c r="L116" t="n">
        <v>0</v>
      </c>
      <c r="M116" t="n">
        <v>0</v>
      </c>
      <c r="N116" t="n">
        <v>0</v>
      </c>
      <c r="O116" t="n">
        <v>0</v>
      </c>
      <c r="P116" t="n">
        <v>0</v>
      </c>
      <c r="Q116" t="n">
        <v>0</v>
      </c>
      <c r="R116" t="n">
        <v>0</v>
      </c>
      <c r="S116" t="n">
        <v>0</v>
      </c>
      <c r="T116" t="n">
        <v>0</v>
      </c>
      <c r="U116" s="2" t="inlineStr"/>
    </row>
    <row r="117" ht="15" customHeight="1">
      <c r="A117" t="inlineStr">
        <is>
          <t>A 43946-2022</t>
        </is>
      </c>
      <c r="B117" t="inlineStr">
        <is>
          <t>avverkningsanmälan</t>
        </is>
      </c>
      <c r="C117" t="inlineStr">
        <is>
          <t>Föryngringsavverkning</t>
        </is>
      </c>
      <c r="D117" s="1" t="n">
        <v>44838</v>
      </c>
      <c r="E117" s="1" t="n">
        <v>46218</v>
      </c>
      <c r="F117" t="inlineStr">
        <is>
          <t>SÖDERMANLANDS LÄN</t>
        </is>
      </c>
      <c r="G117" t="inlineStr">
        <is>
          <t>STRÄNGNÄS</t>
        </is>
      </c>
      <c r="I117" t="n">
        <v>2.1</v>
      </c>
      <c r="J117" t="n">
        <v>0</v>
      </c>
      <c r="K117" t="n">
        <v>0</v>
      </c>
      <c r="L117" t="n">
        <v>0</v>
      </c>
      <c r="M117" t="n">
        <v>0</v>
      </c>
      <c r="N117" t="n">
        <v>0</v>
      </c>
      <c r="O117" t="n">
        <v>0</v>
      </c>
      <c r="P117" t="n">
        <v>0</v>
      </c>
      <c r="Q117" t="n">
        <v>0</v>
      </c>
      <c r="R117" t="n">
        <v>0</v>
      </c>
      <c r="S117" t="n">
        <v>0</v>
      </c>
      <c r="T117" t="n">
        <v>0</v>
      </c>
      <c r="U117" s="2" t="inlineStr"/>
    </row>
    <row r="118" ht="15" customHeight="1">
      <c r="A118" t="inlineStr">
        <is>
          <t>A 2468-2022</t>
        </is>
      </c>
      <c r="B118" t="inlineStr">
        <is>
          <t>avverkningsanmälan</t>
        </is>
      </c>
      <c r="C118" t="inlineStr">
        <is>
          <t>Föryngringsavverkning</t>
        </is>
      </c>
      <c r="D118" s="1" t="n">
        <v>44579</v>
      </c>
      <c r="E118" s="1" t="n">
        <v>46218</v>
      </c>
      <c r="F118" t="inlineStr">
        <is>
          <t>SÖDERMANLANDS LÄN</t>
        </is>
      </c>
      <c r="G118" t="inlineStr">
        <is>
          <t>STRÄNGNÄS</t>
        </is>
      </c>
      <c r="H118" t="inlineStr">
        <is>
          <t>Övriga Aktiebolag</t>
        </is>
      </c>
      <c r="I118" t="n">
        <v>1.5</v>
      </c>
      <c r="J118" t="n">
        <v>0</v>
      </c>
      <c r="K118" t="n">
        <v>0</v>
      </c>
      <c r="L118" t="n">
        <v>0</v>
      </c>
      <c r="M118" t="n">
        <v>0</v>
      </c>
      <c r="N118" t="n">
        <v>0</v>
      </c>
      <c r="O118" t="n">
        <v>0</v>
      </c>
      <c r="P118" t="n">
        <v>0</v>
      </c>
      <c r="Q118" t="n">
        <v>0</v>
      </c>
      <c r="R118" t="n">
        <v>0</v>
      </c>
      <c r="S118" t="n">
        <v>0</v>
      </c>
      <c r="T118" t="n">
        <v>0</v>
      </c>
      <c r="U118" s="2" t="inlineStr"/>
    </row>
    <row r="119" ht="15" customHeight="1">
      <c r="A119" t="inlineStr">
        <is>
          <t>A 26282-2023</t>
        </is>
      </c>
      <c r="B119" t="inlineStr">
        <is>
          <t>avverkningsanmälan</t>
        </is>
      </c>
      <c r="C119" t="inlineStr">
        <is>
          <t>Föryngringsavverkning</t>
        </is>
      </c>
      <c r="D119" s="1" t="n">
        <v>45091</v>
      </c>
      <c r="E119" s="1" t="n">
        <v>46218</v>
      </c>
      <c r="F119" t="inlineStr">
        <is>
          <t>SÖDERMANLANDS LÄN</t>
        </is>
      </c>
      <c r="G119" t="inlineStr">
        <is>
          <t>STRÄNGNÄS</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54383-2022</t>
        </is>
      </c>
      <c r="B120" t="inlineStr">
        <is>
          <t>avverkningsanmälan</t>
        </is>
      </c>
      <c r="C120" t="inlineStr">
        <is>
          <t>Föryngringsavverkning</t>
        </is>
      </c>
      <c r="D120" s="1" t="n">
        <v>44882</v>
      </c>
      <c r="E120" s="1" t="n">
        <v>46218</v>
      </c>
      <c r="F120" t="inlineStr">
        <is>
          <t>SÖDERMANLANDS LÄN</t>
        </is>
      </c>
      <c r="G120" t="inlineStr">
        <is>
          <t>STRÄNGNÄS</t>
        </is>
      </c>
      <c r="I120" t="n">
        <v>1.3</v>
      </c>
      <c r="J120" t="n">
        <v>0</v>
      </c>
      <c r="K120" t="n">
        <v>0</v>
      </c>
      <c r="L120" t="n">
        <v>0</v>
      </c>
      <c r="M120" t="n">
        <v>0</v>
      </c>
      <c r="N120" t="n">
        <v>0</v>
      </c>
      <c r="O120" t="n">
        <v>0</v>
      </c>
      <c r="P120" t="n">
        <v>0</v>
      </c>
      <c r="Q120" t="n">
        <v>0</v>
      </c>
      <c r="R120" t="n">
        <v>0</v>
      </c>
      <c r="S120" t="n">
        <v>0</v>
      </c>
      <c r="T120" t="n">
        <v>0</v>
      </c>
      <c r="U120" s="2" t="inlineStr"/>
    </row>
    <row r="121" ht="15" customHeight="1">
      <c r="A121" t="inlineStr">
        <is>
          <t>A 1305-2023</t>
        </is>
      </c>
      <c r="B121" t="inlineStr">
        <is>
          <t>avverkningsanmälan</t>
        </is>
      </c>
      <c r="C121" t="inlineStr">
        <is>
          <t>Föryngringsavverkning</t>
        </is>
      </c>
      <c r="D121" s="1" t="n">
        <v>44936</v>
      </c>
      <c r="E121" s="1" t="n">
        <v>46218</v>
      </c>
      <c r="F121" t="inlineStr">
        <is>
          <t>SÖDERMANLANDS LÄN</t>
        </is>
      </c>
      <c r="G121" t="inlineStr">
        <is>
          <t>STRÄNGNÄS</t>
        </is>
      </c>
      <c r="I121" t="n">
        <v>6</v>
      </c>
      <c r="J121" t="n">
        <v>0</v>
      </c>
      <c r="K121" t="n">
        <v>0</v>
      </c>
      <c r="L121" t="n">
        <v>0</v>
      </c>
      <c r="M121" t="n">
        <v>0</v>
      </c>
      <c r="N121" t="n">
        <v>0</v>
      </c>
      <c r="O121" t="n">
        <v>0</v>
      </c>
      <c r="P121" t="n">
        <v>0</v>
      </c>
      <c r="Q121" t="n">
        <v>0</v>
      </c>
      <c r="R121" t="n">
        <v>0</v>
      </c>
      <c r="S121" t="n">
        <v>0</v>
      </c>
      <c r="T121" t="n">
        <v>0</v>
      </c>
      <c r="U121" s="2" t="inlineStr"/>
    </row>
    <row r="122" ht="15" customHeight="1">
      <c r="A122" t="inlineStr">
        <is>
          <t>A 42476-2022</t>
        </is>
      </c>
      <c r="B122" t="inlineStr">
        <is>
          <t>avverkningsanmälan</t>
        </is>
      </c>
      <c r="C122" t="inlineStr">
        <is>
          <t>Föryngringsavverkning</t>
        </is>
      </c>
      <c r="D122" s="1" t="n">
        <v>44831</v>
      </c>
      <c r="E122" s="1" t="n">
        <v>46218</v>
      </c>
      <c r="F122" t="inlineStr">
        <is>
          <t>SÖDERMANLANDS LÄN</t>
        </is>
      </c>
      <c r="G122" t="inlineStr">
        <is>
          <t>STRÄNGNÄS</t>
        </is>
      </c>
      <c r="I122" t="n">
        <v>5.5</v>
      </c>
      <c r="J122" t="n">
        <v>0</v>
      </c>
      <c r="K122" t="n">
        <v>0</v>
      </c>
      <c r="L122" t="n">
        <v>0</v>
      </c>
      <c r="M122" t="n">
        <v>0</v>
      </c>
      <c r="N122" t="n">
        <v>0</v>
      </c>
      <c r="O122" t="n">
        <v>0</v>
      </c>
      <c r="P122" t="n">
        <v>0</v>
      </c>
      <c r="Q122" t="n">
        <v>0</v>
      </c>
      <c r="R122" t="n">
        <v>0</v>
      </c>
      <c r="S122" t="n">
        <v>0</v>
      </c>
      <c r="T122" t="n">
        <v>0</v>
      </c>
      <c r="U122" s="2" t="inlineStr"/>
    </row>
    <row r="123" ht="15" customHeight="1">
      <c r="A123" t="inlineStr">
        <is>
          <t>A 42503-2022</t>
        </is>
      </c>
      <c r="B123" t="inlineStr">
        <is>
          <t>avverkningsanmälan</t>
        </is>
      </c>
      <c r="C123" t="inlineStr">
        <is>
          <t>Föryngringsavverkning</t>
        </is>
      </c>
      <c r="D123" s="1" t="n">
        <v>44831</v>
      </c>
      <c r="E123" s="1" t="n">
        <v>46218</v>
      </c>
      <c r="F123" t="inlineStr">
        <is>
          <t>SÖDERMANLANDS LÄN</t>
        </is>
      </c>
      <c r="G123" t="inlineStr">
        <is>
          <t>STRÄNGNÄS</t>
        </is>
      </c>
      <c r="I123" t="n">
        <v>3.5</v>
      </c>
      <c r="J123" t="n">
        <v>0</v>
      </c>
      <c r="K123" t="n">
        <v>0</v>
      </c>
      <c r="L123" t="n">
        <v>0</v>
      </c>
      <c r="M123" t="n">
        <v>0</v>
      </c>
      <c r="N123" t="n">
        <v>0</v>
      </c>
      <c r="O123" t="n">
        <v>0</v>
      </c>
      <c r="P123" t="n">
        <v>0</v>
      </c>
      <c r="Q123" t="n">
        <v>0</v>
      </c>
      <c r="R123" t="n">
        <v>0</v>
      </c>
      <c r="S123" t="n">
        <v>0</v>
      </c>
      <c r="T123" t="n">
        <v>0</v>
      </c>
      <c r="U123" s="2" t="inlineStr"/>
    </row>
    <row r="124" ht="15" customHeight="1">
      <c r="A124" t="inlineStr">
        <is>
          <t>A 10867-2023</t>
        </is>
      </c>
      <c r="B124" t="inlineStr">
        <is>
          <t>avverkningsanmälan</t>
        </is>
      </c>
      <c r="C124" t="inlineStr">
        <is>
          <t>Föryngringsavverkning</t>
        </is>
      </c>
      <c r="D124" s="1" t="n">
        <v>44991</v>
      </c>
      <c r="E124" s="1" t="n">
        <v>46218</v>
      </c>
      <c r="F124" t="inlineStr">
        <is>
          <t>SÖDERMANLANDS LÄN</t>
        </is>
      </c>
      <c r="G124" t="inlineStr">
        <is>
          <t>STRÄNGNÄS</t>
        </is>
      </c>
      <c r="I124" t="n">
        <v>1.3</v>
      </c>
      <c r="J124" t="n">
        <v>0</v>
      </c>
      <c r="K124" t="n">
        <v>0</v>
      </c>
      <c r="L124" t="n">
        <v>0</v>
      </c>
      <c r="M124" t="n">
        <v>0</v>
      </c>
      <c r="N124" t="n">
        <v>0</v>
      </c>
      <c r="O124" t="n">
        <v>0</v>
      </c>
      <c r="P124" t="n">
        <v>0</v>
      </c>
      <c r="Q124" t="n">
        <v>0</v>
      </c>
      <c r="R124" t="n">
        <v>0</v>
      </c>
      <c r="S124" t="n">
        <v>0</v>
      </c>
      <c r="T124" t="n">
        <v>0</v>
      </c>
      <c r="U124" s="2" t="inlineStr"/>
    </row>
    <row r="125" ht="15" customHeight="1">
      <c r="A125" t="inlineStr">
        <is>
          <t>A 9704-2022</t>
        </is>
      </c>
      <c r="B125" t="inlineStr">
        <is>
          <t>avverkningsanmälan</t>
        </is>
      </c>
      <c r="C125" t="inlineStr">
        <is>
          <t>Föryngringsavverkning</t>
        </is>
      </c>
      <c r="D125" s="1" t="n">
        <v>44617</v>
      </c>
      <c r="E125" s="1" t="n">
        <v>46218</v>
      </c>
      <c r="F125" t="inlineStr">
        <is>
          <t>SÖDERMANLANDS LÄN</t>
        </is>
      </c>
      <c r="G125" t="inlineStr">
        <is>
          <t>STRÄNGNÄS</t>
        </is>
      </c>
      <c r="I125" t="n">
        <v>1.7</v>
      </c>
      <c r="J125" t="n">
        <v>0</v>
      </c>
      <c r="K125" t="n">
        <v>0</v>
      </c>
      <c r="L125" t="n">
        <v>0</v>
      </c>
      <c r="M125" t="n">
        <v>0</v>
      </c>
      <c r="N125" t="n">
        <v>0</v>
      </c>
      <c r="O125" t="n">
        <v>0</v>
      </c>
      <c r="P125" t="n">
        <v>0</v>
      </c>
      <c r="Q125" t="n">
        <v>0</v>
      </c>
      <c r="R125" t="n">
        <v>0</v>
      </c>
      <c r="S125" t="n">
        <v>0</v>
      </c>
      <c r="T125" t="n">
        <v>0</v>
      </c>
      <c r="U125" s="2" t="inlineStr"/>
    </row>
    <row r="126" ht="15" customHeight="1">
      <c r="A126" t="inlineStr">
        <is>
          <t>A 40112-2025</t>
        </is>
      </c>
      <c r="B126" t="inlineStr">
        <is>
          <t>avverkningsanmälan</t>
        </is>
      </c>
      <c r="C126" t="inlineStr">
        <is>
          <t>Föryngringsavverkning</t>
        </is>
      </c>
      <c r="D126" s="1" t="n">
        <v>45894</v>
      </c>
      <c r="E126" s="1" t="n">
        <v>46218</v>
      </c>
      <c r="F126" t="inlineStr">
        <is>
          <t>SÖDERMANLANDS LÄN</t>
        </is>
      </c>
      <c r="G126" t="inlineStr">
        <is>
          <t>STRÄNGNÄS</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42806-2023</t>
        </is>
      </c>
      <c r="B127" t="inlineStr">
        <is>
          <t>avverkningsanmälan</t>
        </is>
      </c>
      <c r="C127" t="inlineStr">
        <is>
          <t>Föryngringsavverkning</t>
        </is>
      </c>
      <c r="D127" s="1" t="n">
        <v>45182</v>
      </c>
      <c r="E127" s="1" t="n">
        <v>46218</v>
      </c>
      <c r="F127" t="inlineStr">
        <is>
          <t>SÖDERMANLANDS LÄN</t>
        </is>
      </c>
      <c r="G127" t="inlineStr">
        <is>
          <t>STRÄNGNÄS</t>
        </is>
      </c>
      <c r="I127" t="n">
        <v>4.7</v>
      </c>
      <c r="J127" t="n">
        <v>0</v>
      </c>
      <c r="K127" t="n">
        <v>0</v>
      </c>
      <c r="L127" t="n">
        <v>0</v>
      </c>
      <c r="M127" t="n">
        <v>0</v>
      </c>
      <c r="N127" t="n">
        <v>0</v>
      </c>
      <c r="O127" t="n">
        <v>0</v>
      </c>
      <c r="P127" t="n">
        <v>0</v>
      </c>
      <c r="Q127" t="n">
        <v>0</v>
      </c>
      <c r="R127" t="n">
        <v>0</v>
      </c>
      <c r="S127" t="n">
        <v>0</v>
      </c>
      <c r="T127" t="n">
        <v>0</v>
      </c>
      <c r="U127" s="2" t="inlineStr"/>
    </row>
    <row r="128" ht="15" customHeight="1">
      <c r="A128" t="inlineStr">
        <is>
          <t>A 21126-2023</t>
        </is>
      </c>
      <c r="B128" t="inlineStr">
        <is>
          <t>avverkningsanmälan</t>
        </is>
      </c>
      <c r="C128" t="inlineStr">
        <is>
          <t>Föryngringsavverkning</t>
        </is>
      </c>
      <c r="D128" s="1" t="n">
        <v>45057</v>
      </c>
      <c r="E128" s="1" t="n">
        <v>46218</v>
      </c>
      <c r="F128" t="inlineStr">
        <is>
          <t>SÖDERMANLANDS LÄN</t>
        </is>
      </c>
      <c r="G128" t="inlineStr">
        <is>
          <t>STRÄNGNÄS</t>
        </is>
      </c>
      <c r="I128" t="n">
        <v>2.4</v>
      </c>
      <c r="J128" t="n">
        <v>0</v>
      </c>
      <c r="K128" t="n">
        <v>0</v>
      </c>
      <c r="L128" t="n">
        <v>0</v>
      </c>
      <c r="M128" t="n">
        <v>0</v>
      </c>
      <c r="N128" t="n">
        <v>0</v>
      </c>
      <c r="O128" t="n">
        <v>0</v>
      </c>
      <c r="P128" t="n">
        <v>0</v>
      </c>
      <c r="Q128" t="n">
        <v>0</v>
      </c>
      <c r="R128" t="n">
        <v>0</v>
      </c>
      <c r="S128" t="n">
        <v>0</v>
      </c>
      <c r="T128" t="n">
        <v>0</v>
      </c>
      <c r="U128" s="2" t="inlineStr"/>
    </row>
    <row r="129" ht="15" customHeight="1">
      <c r="A129" t="inlineStr">
        <is>
          <t>A 18508-2024</t>
        </is>
      </c>
      <c r="B129" t="inlineStr">
        <is>
          <t>avverkningsanmälan</t>
        </is>
      </c>
      <c r="C129" t="inlineStr">
        <is>
          <t>Föryngringsavverkning</t>
        </is>
      </c>
      <c r="D129" s="1" t="n">
        <v>45425</v>
      </c>
      <c r="E129" s="1" t="n">
        <v>46218</v>
      </c>
      <c r="F129" t="inlineStr">
        <is>
          <t>SÖDERMANLANDS LÄN</t>
        </is>
      </c>
      <c r="G129" t="inlineStr">
        <is>
          <t>STRÄNGNÄS</t>
        </is>
      </c>
      <c r="I129" t="n">
        <v>4.7</v>
      </c>
      <c r="J129" t="n">
        <v>0</v>
      </c>
      <c r="K129" t="n">
        <v>0</v>
      </c>
      <c r="L129" t="n">
        <v>0</v>
      </c>
      <c r="M129" t="n">
        <v>0</v>
      </c>
      <c r="N129" t="n">
        <v>0</v>
      </c>
      <c r="O129" t="n">
        <v>0</v>
      </c>
      <c r="P129" t="n">
        <v>0</v>
      </c>
      <c r="Q129" t="n">
        <v>0</v>
      </c>
      <c r="R129" t="n">
        <v>0</v>
      </c>
      <c r="S129" t="n">
        <v>0</v>
      </c>
      <c r="T129" t="n">
        <v>0</v>
      </c>
      <c r="U129" s="2" t="inlineStr"/>
    </row>
    <row r="130" ht="15" customHeight="1">
      <c r="A130" t="inlineStr">
        <is>
          <t>A 9232-2023</t>
        </is>
      </c>
      <c r="B130" t="inlineStr">
        <is>
          <t>avverkningsanmälan</t>
        </is>
      </c>
      <c r="C130" t="inlineStr">
        <is>
          <t>Föryngringsavverkning</t>
        </is>
      </c>
      <c r="D130" s="1" t="n">
        <v>44980</v>
      </c>
      <c r="E130" s="1" t="n">
        <v>46218</v>
      </c>
      <c r="F130" t="inlineStr">
        <is>
          <t>SÖDERMANLANDS LÄN</t>
        </is>
      </c>
      <c r="G130" t="inlineStr">
        <is>
          <t>STRÄNGNÄS</t>
        </is>
      </c>
      <c r="I130" t="n">
        <v>2</v>
      </c>
      <c r="J130" t="n">
        <v>0</v>
      </c>
      <c r="K130" t="n">
        <v>0</v>
      </c>
      <c r="L130" t="n">
        <v>0</v>
      </c>
      <c r="M130" t="n">
        <v>0</v>
      </c>
      <c r="N130" t="n">
        <v>0</v>
      </c>
      <c r="O130" t="n">
        <v>0</v>
      </c>
      <c r="P130" t="n">
        <v>0</v>
      </c>
      <c r="Q130" t="n">
        <v>0</v>
      </c>
      <c r="R130" t="n">
        <v>0</v>
      </c>
      <c r="S130" t="n">
        <v>0</v>
      </c>
      <c r="T130" t="n">
        <v>0</v>
      </c>
      <c r="U130" s="2" t="inlineStr"/>
    </row>
    <row r="131" ht="15" customHeight="1">
      <c r="A131" t="inlineStr">
        <is>
          <t>A 866-2023</t>
        </is>
      </c>
      <c r="B131" t="inlineStr">
        <is>
          <t>avverkningsanmälan</t>
        </is>
      </c>
      <c r="C131" t="inlineStr">
        <is>
          <t>Föryngringsavverkning</t>
        </is>
      </c>
      <c r="D131" s="1" t="n">
        <v>44931</v>
      </c>
      <c r="E131" s="1" t="n">
        <v>46218</v>
      </c>
      <c r="F131" t="inlineStr">
        <is>
          <t>SÖDERMANLANDS LÄN</t>
        </is>
      </c>
      <c r="G131" t="inlineStr">
        <is>
          <t>STRÄNGNÄS</t>
        </is>
      </c>
      <c r="I131" t="n">
        <v>3.1</v>
      </c>
      <c r="J131" t="n">
        <v>0</v>
      </c>
      <c r="K131" t="n">
        <v>0</v>
      </c>
      <c r="L131" t="n">
        <v>0</v>
      </c>
      <c r="M131" t="n">
        <v>0</v>
      </c>
      <c r="N131" t="n">
        <v>0</v>
      </c>
      <c r="O131" t="n">
        <v>0</v>
      </c>
      <c r="P131" t="n">
        <v>0</v>
      </c>
      <c r="Q131" t="n">
        <v>0</v>
      </c>
      <c r="R131" t="n">
        <v>0</v>
      </c>
      <c r="S131" t="n">
        <v>0</v>
      </c>
      <c r="T131" t="n">
        <v>0</v>
      </c>
      <c r="U131" s="2" t="inlineStr"/>
    </row>
    <row r="132" ht="15" customHeight="1">
      <c r="A132" t="inlineStr">
        <is>
          <t>A 58092-2023</t>
        </is>
      </c>
      <c r="B132" t="inlineStr">
        <is>
          <t>avverkningsanmälan</t>
        </is>
      </c>
      <c r="C132" t="inlineStr">
        <is>
          <t>Avverkning för att bevara och utveckla /försöksver</t>
        </is>
      </c>
      <c r="D132" s="1" t="n">
        <v>45248</v>
      </c>
      <c r="E132" s="1" t="n">
        <v>46218</v>
      </c>
      <c r="F132" t="inlineStr">
        <is>
          <t>SÖDERMANLANDS LÄN</t>
        </is>
      </c>
      <c r="G132" t="inlineStr">
        <is>
          <t>STRÄNGNÄS</t>
        </is>
      </c>
      <c r="I132" t="n">
        <v>28.5</v>
      </c>
      <c r="J132" t="n">
        <v>0</v>
      </c>
      <c r="K132" t="n">
        <v>0</v>
      </c>
      <c r="L132" t="n">
        <v>0</v>
      </c>
      <c r="M132" t="n">
        <v>0</v>
      </c>
      <c r="N132" t="n">
        <v>0</v>
      </c>
      <c r="O132" t="n">
        <v>0</v>
      </c>
      <c r="P132" t="n">
        <v>0</v>
      </c>
      <c r="Q132" t="n">
        <v>0</v>
      </c>
      <c r="R132" t="n">
        <v>0</v>
      </c>
      <c r="S132" t="n">
        <v>0</v>
      </c>
      <c r="T132" t="n">
        <v>0</v>
      </c>
      <c r="U132" s="2" t="inlineStr"/>
    </row>
    <row r="133" ht="15" customHeight="1">
      <c r="A133" t="inlineStr">
        <is>
          <t>A 22522-2023</t>
        </is>
      </c>
      <c r="B133" t="inlineStr">
        <is>
          <t>avverkningsanmälan</t>
        </is>
      </c>
      <c r="C133" t="inlineStr">
        <is>
          <t>Föryngringsavverkning</t>
        </is>
      </c>
      <c r="D133" s="1" t="n">
        <v>45071</v>
      </c>
      <c r="E133" s="1" t="n">
        <v>46218</v>
      </c>
      <c r="F133" t="inlineStr">
        <is>
          <t>SÖDERMANLANDS LÄN</t>
        </is>
      </c>
      <c r="G133" t="inlineStr">
        <is>
          <t>STRÄNGNÄS</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11243-2023</t>
        </is>
      </c>
      <c r="B134" t="inlineStr">
        <is>
          <t>avverkningsanmälan</t>
        </is>
      </c>
      <c r="C134" t="inlineStr">
        <is>
          <t>Avverkning för annat ändamål</t>
        </is>
      </c>
      <c r="D134" s="1" t="n">
        <v>44992</v>
      </c>
      <c r="E134" s="1" t="n">
        <v>46218</v>
      </c>
      <c r="F134" t="inlineStr">
        <is>
          <t>SÖDERMANLANDS LÄN</t>
        </is>
      </c>
      <c r="G134" t="inlineStr">
        <is>
          <t>STRÄNGNÄS</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54598-2022</t>
        </is>
      </c>
      <c r="B135" t="inlineStr">
        <is>
          <t>avverkningsanmälan</t>
        </is>
      </c>
      <c r="C135" t="inlineStr">
        <is>
          <t>Föryngringsavverkning</t>
        </is>
      </c>
      <c r="D135" s="1" t="n">
        <v>44881</v>
      </c>
      <c r="E135" s="1" t="n">
        <v>46218</v>
      </c>
      <c r="F135" t="inlineStr">
        <is>
          <t>SÖDERMANLANDS LÄN</t>
        </is>
      </c>
      <c r="G135" t="inlineStr">
        <is>
          <t>STRÄNGNÄS</t>
        </is>
      </c>
      <c r="I135" t="n">
        <v>5.4</v>
      </c>
      <c r="J135" t="n">
        <v>0</v>
      </c>
      <c r="K135" t="n">
        <v>0</v>
      </c>
      <c r="L135" t="n">
        <v>0</v>
      </c>
      <c r="M135" t="n">
        <v>0</v>
      </c>
      <c r="N135" t="n">
        <v>0</v>
      </c>
      <c r="O135" t="n">
        <v>0</v>
      </c>
      <c r="P135" t="n">
        <v>0</v>
      </c>
      <c r="Q135" t="n">
        <v>0</v>
      </c>
      <c r="R135" t="n">
        <v>0</v>
      </c>
      <c r="S135" t="n">
        <v>0</v>
      </c>
      <c r="T135" t="n">
        <v>0</v>
      </c>
      <c r="U135" s="2" t="inlineStr"/>
    </row>
    <row r="136" ht="15" customHeight="1">
      <c r="A136" t="inlineStr">
        <is>
          <t>A 14034-2024</t>
        </is>
      </c>
      <c r="B136" t="inlineStr">
        <is>
          <t>avverkningsanmälan</t>
        </is>
      </c>
      <c r="C136" t="inlineStr">
        <is>
          <t>Föryngringsavverkning</t>
        </is>
      </c>
      <c r="D136" s="1" t="n">
        <v>45392</v>
      </c>
      <c r="E136" s="1" t="n">
        <v>46218</v>
      </c>
      <c r="F136" t="inlineStr">
        <is>
          <t>SÖDERMANLANDS LÄN</t>
        </is>
      </c>
      <c r="G136" t="inlineStr">
        <is>
          <t>STRÄNGNÄS</t>
        </is>
      </c>
      <c r="I136" t="n">
        <v>7</v>
      </c>
      <c r="J136" t="n">
        <v>0</v>
      </c>
      <c r="K136" t="n">
        <v>0</v>
      </c>
      <c r="L136" t="n">
        <v>0</v>
      </c>
      <c r="M136" t="n">
        <v>0</v>
      </c>
      <c r="N136" t="n">
        <v>0</v>
      </c>
      <c r="O136" t="n">
        <v>0</v>
      </c>
      <c r="P136" t="n">
        <v>0</v>
      </c>
      <c r="Q136" t="n">
        <v>0</v>
      </c>
      <c r="R136" t="n">
        <v>0</v>
      </c>
      <c r="S136" t="n">
        <v>0</v>
      </c>
      <c r="T136" t="n">
        <v>0</v>
      </c>
      <c r="U136" s="2" t="inlineStr"/>
    </row>
    <row r="137" ht="15" customHeight="1">
      <c r="A137" t="inlineStr">
        <is>
          <t>A 53904-2022</t>
        </is>
      </c>
      <c r="B137" t="inlineStr">
        <is>
          <t>avverkningsanmälan</t>
        </is>
      </c>
      <c r="C137" t="inlineStr">
        <is>
          <t>Föryngringsavverkning</t>
        </is>
      </c>
      <c r="D137" s="1" t="n">
        <v>44880</v>
      </c>
      <c r="E137" s="1" t="n">
        <v>46218</v>
      </c>
      <c r="F137" t="inlineStr">
        <is>
          <t>SÖDERMANLANDS LÄN</t>
        </is>
      </c>
      <c r="G137" t="inlineStr">
        <is>
          <t>STRÄNGNÄS</t>
        </is>
      </c>
      <c r="I137" t="n">
        <v>2.9</v>
      </c>
      <c r="J137" t="n">
        <v>0</v>
      </c>
      <c r="K137" t="n">
        <v>0</v>
      </c>
      <c r="L137" t="n">
        <v>0</v>
      </c>
      <c r="M137" t="n">
        <v>0</v>
      </c>
      <c r="N137" t="n">
        <v>0</v>
      </c>
      <c r="O137" t="n">
        <v>0</v>
      </c>
      <c r="P137" t="n">
        <v>0</v>
      </c>
      <c r="Q137" t="n">
        <v>0</v>
      </c>
      <c r="R137" t="n">
        <v>0</v>
      </c>
      <c r="S137" t="n">
        <v>0</v>
      </c>
      <c r="T137" t="n">
        <v>0</v>
      </c>
      <c r="U137" s="2" t="inlineStr"/>
    </row>
    <row r="138" ht="15" customHeight="1">
      <c r="A138" t="inlineStr">
        <is>
          <t>A 15397-2022</t>
        </is>
      </c>
      <c r="B138" t="inlineStr">
        <is>
          <t>avverkningsanmälan</t>
        </is>
      </c>
      <c r="C138" t="inlineStr">
        <is>
          <t>Föryngringsavverkning</t>
        </is>
      </c>
      <c r="D138" s="1" t="n">
        <v>44659</v>
      </c>
      <c r="E138" s="1" t="n">
        <v>46218</v>
      </c>
      <c r="F138" t="inlineStr">
        <is>
          <t>SÖDERMANLANDS LÄN</t>
        </is>
      </c>
      <c r="G138" t="inlineStr">
        <is>
          <t>STRÄNGNÄS</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56914-2022</t>
        </is>
      </c>
      <c r="B139" t="inlineStr">
        <is>
          <t>avverkningsanmälan</t>
        </is>
      </c>
      <c r="C139" t="inlineStr">
        <is>
          <t>Föryngringsavverkning</t>
        </is>
      </c>
      <c r="D139" s="1" t="n">
        <v>44894</v>
      </c>
      <c r="E139" s="1" t="n">
        <v>46218</v>
      </c>
      <c r="F139" t="inlineStr">
        <is>
          <t>SÖDERMANLANDS LÄN</t>
        </is>
      </c>
      <c r="G139" t="inlineStr">
        <is>
          <t>STRÄNGNÄS</t>
        </is>
      </c>
      <c r="I139" t="n">
        <v>13.2</v>
      </c>
      <c r="J139" t="n">
        <v>0</v>
      </c>
      <c r="K139" t="n">
        <v>0</v>
      </c>
      <c r="L139" t="n">
        <v>0</v>
      </c>
      <c r="M139" t="n">
        <v>0</v>
      </c>
      <c r="N139" t="n">
        <v>0</v>
      </c>
      <c r="O139" t="n">
        <v>0</v>
      </c>
      <c r="P139" t="n">
        <v>0</v>
      </c>
      <c r="Q139" t="n">
        <v>0</v>
      </c>
      <c r="R139" t="n">
        <v>0</v>
      </c>
      <c r="S139" t="n">
        <v>0</v>
      </c>
      <c r="T139" t="n">
        <v>0</v>
      </c>
      <c r="U139" s="2" t="inlineStr"/>
    </row>
    <row r="140" ht="15" customHeight="1">
      <c r="A140" t="inlineStr">
        <is>
          <t>A 33343-2023</t>
        </is>
      </c>
      <c r="B140" t="inlineStr">
        <is>
          <t>avverkningsanmälan</t>
        </is>
      </c>
      <c r="C140" t="inlineStr">
        <is>
          <t>Föryngringsavverkning</t>
        </is>
      </c>
      <c r="D140" s="1" t="n">
        <v>45128</v>
      </c>
      <c r="E140" s="1" t="n">
        <v>46218</v>
      </c>
      <c r="F140" t="inlineStr">
        <is>
          <t>SÖDERMANLANDS LÄN</t>
        </is>
      </c>
      <c r="G140" t="inlineStr">
        <is>
          <t>STRÄNGNÄS</t>
        </is>
      </c>
      <c r="I140" t="n">
        <v>4.3</v>
      </c>
      <c r="J140" t="n">
        <v>0</v>
      </c>
      <c r="K140" t="n">
        <v>0</v>
      </c>
      <c r="L140" t="n">
        <v>0</v>
      </c>
      <c r="M140" t="n">
        <v>0</v>
      </c>
      <c r="N140" t="n">
        <v>0</v>
      </c>
      <c r="O140" t="n">
        <v>0</v>
      </c>
      <c r="P140" t="n">
        <v>0</v>
      </c>
      <c r="Q140" t="n">
        <v>0</v>
      </c>
      <c r="R140" t="n">
        <v>0</v>
      </c>
      <c r="S140" t="n">
        <v>0</v>
      </c>
      <c r="T140" t="n">
        <v>0</v>
      </c>
      <c r="U140" s="2" t="inlineStr"/>
    </row>
    <row r="141" ht="15" customHeight="1">
      <c r="A141" t="inlineStr">
        <is>
          <t>A 13259-2022</t>
        </is>
      </c>
      <c r="B141" t="inlineStr">
        <is>
          <t>avverkningsanmälan</t>
        </is>
      </c>
      <c r="C141" t="inlineStr">
        <is>
          <t>Föryngringsavverkning</t>
        </is>
      </c>
      <c r="D141" s="1" t="n">
        <v>44644</v>
      </c>
      <c r="E141" s="1" t="n">
        <v>46218</v>
      </c>
      <c r="F141" t="inlineStr">
        <is>
          <t>SÖDERMANLANDS LÄN</t>
        </is>
      </c>
      <c r="G141" t="inlineStr">
        <is>
          <t>STRÄNGNÄS</t>
        </is>
      </c>
      <c r="I141" t="n">
        <v>3.6</v>
      </c>
      <c r="J141" t="n">
        <v>0</v>
      </c>
      <c r="K141" t="n">
        <v>0</v>
      </c>
      <c r="L141" t="n">
        <v>0</v>
      </c>
      <c r="M141" t="n">
        <v>0</v>
      </c>
      <c r="N141" t="n">
        <v>0</v>
      </c>
      <c r="O141" t="n">
        <v>0</v>
      </c>
      <c r="P141" t="n">
        <v>0</v>
      </c>
      <c r="Q141" t="n">
        <v>0</v>
      </c>
      <c r="R141" t="n">
        <v>0</v>
      </c>
      <c r="S141" t="n">
        <v>0</v>
      </c>
      <c r="T141" t="n">
        <v>0</v>
      </c>
      <c r="U141" s="2" t="inlineStr"/>
    </row>
    <row r="142" ht="15" customHeight="1">
      <c r="A142" t="inlineStr">
        <is>
          <t>A 3118-2023</t>
        </is>
      </c>
      <c r="B142" t="inlineStr">
        <is>
          <t>avverkningsanmälan</t>
        </is>
      </c>
      <c r="C142" t="inlineStr">
        <is>
          <t>Föryngringsavverkning</t>
        </is>
      </c>
      <c r="D142" s="1" t="n">
        <v>44946</v>
      </c>
      <c r="E142" s="1" t="n">
        <v>46218</v>
      </c>
      <c r="F142" t="inlineStr">
        <is>
          <t>SÖDERMANLANDS LÄN</t>
        </is>
      </c>
      <c r="G142" t="inlineStr">
        <is>
          <t>STRÄNGNÄS</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25542-2023</t>
        </is>
      </c>
      <c r="B143" t="inlineStr">
        <is>
          <t>avverkningsanmälan</t>
        </is>
      </c>
      <c r="C143" t="inlineStr">
        <is>
          <t>Föryngringsavverkning</t>
        </is>
      </c>
      <c r="D143" s="1" t="n">
        <v>45089</v>
      </c>
      <c r="E143" s="1" t="n">
        <v>46218</v>
      </c>
      <c r="F143" t="inlineStr">
        <is>
          <t>SÖDERMANLANDS LÄN</t>
        </is>
      </c>
      <c r="G143" t="inlineStr">
        <is>
          <t>STRÄNGNÄS</t>
        </is>
      </c>
      <c r="I143" t="n">
        <v>3.3</v>
      </c>
      <c r="J143" t="n">
        <v>0</v>
      </c>
      <c r="K143" t="n">
        <v>0</v>
      </c>
      <c r="L143" t="n">
        <v>0</v>
      </c>
      <c r="M143" t="n">
        <v>0</v>
      </c>
      <c r="N143" t="n">
        <v>0</v>
      </c>
      <c r="O143" t="n">
        <v>0</v>
      </c>
      <c r="P143" t="n">
        <v>0</v>
      </c>
      <c r="Q143" t="n">
        <v>0</v>
      </c>
      <c r="R143" t="n">
        <v>0</v>
      </c>
      <c r="S143" t="n">
        <v>0</v>
      </c>
      <c r="T143" t="n">
        <v>0</v>
      </c>
      <c r="U143" s="2" t="inlineStr"/>
    </row>
    <row r="144" ht="15" customHeight="1">
      <c r="A144" t="inlineStr">
        <is>
          <t>A 23001-2023</t>
        </is>
      </c>
      <c r="B144" t="inlineStr">
        <is>
          <t>avverkningsanmälan</t>
        </is>
      </c>
      <c r="C144" t="inlineStr">
        <is>
          <t>Föryngringsavverkning</t>
        </is>
      </c>
      <c r="D144" s="1" t="n">
        <v>45072</v>
      </c>
      <c r="E144" s="1" t="n">
        <v>46218</v>
      </c>
      <c r="F144" t="inlineStr">
        <is>
          <t>SÖDERMANLANDS LÄN</t>
        </is>
      </c>
      <c r="G144" t="inlineStr">
        <is>
          <t>STRÄNGNÄS</t>
        </is>
      </c>
      <c r="I144" t="n">
        <v>1.8</v>
      </c>
      <c r="J144" t="n">
        <v>0</v>
      </c>
      <c r="K144" t="n">
        <v>0</v>
      </c>
      <c r="L144" t="n">
        <v>0</v>
      </c>
      <c r="M144" t="n">
        <v>0</v>
      </c>
      <c r="N144" t="n">
        <v>0</v>
      </c>
      <c r="O144" t="n">
        <v>0</v>
      </c>
      <c r="P144" t="n">
        <v>0</v>
      </c>
      <c r="Q144" t="n">
        <v>0</v>
      </c>
      <c r="R144" t="n">
        <v>0</v>
      </c>
      <c r="S144" t="n">
        <v>0</v>
      </c>
      <c r="T144" t="n">
        <v>0</v>
      </c>
      <c r="U144" s="2" t="inlineStr"/>
    </row>
    <row r="145" ht="15" customHeight="1">
      <c r="A145" t="inlineStr">
        <is>
          <t>A 34391-2024</t>
        </is>
      </c>
      <c r="B145" t="inlineStr">
        <is>
          <t>avverkningsanmälan</t>
        </is>
      </c>
      <c r="C145" t="inlineStr">
        <is>
          <t>Föryngringsavverkning</t>
        </is>
      </c>
      <c r="D145" s="1" t="n">
        <v>45525</v>
      </c>
      <c r="E145" s="1" t="n">
        <v>46218</v>
      </c>
      <c r="F145" t="inlineStr">
        <is>
          <t>SÖDERMANLANDS LÄN</t>
        </is>
      </c>
      <c r="G145" t="inlineStr">
        <is>
          <t>STRÄNGNÄS</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22459-2022</t>
        </is>
      </c>
      <c r="B146" t="inlineStr">
        <is>
          <t>avverkningsanmälan</t>
        </is>
      </c>
      <c r="C146" t="inlineStr">
        <is>
          <t>Föryngringsavverkning</t>
        </is>
      </c>
      <c r="D146" s="1" t="n">
        <v>44713</v>
      </c>
      <c r="E146" s="1" t="n">
        <v>46218</v>
      </c>
      <c r="F146" t="inlineStr">
        <is>
          <t>SÖDERMANLANDS LÄN</t>
        </is>
      </c>
      <c r="G146" t="inlineStr">
        <is>
          <t>STRÄNGNÄS</t>
        </is>
      </c>
      <c r="H146" t="inlineStr">
        <is>
          <t>Övriga Aktiebolag</t>
        </is>
      </c>
      <c r="I146" t="n">
        <v>3.8</v>
      </c>
      <c r="J146" t="n">
        <v>0</v>
      </c>
      <c r="K146" t="n">
        <v>0</v>
      </c>
      <c r="L146" t="n">
        <v>0</v>
      </c>
      <c r="M146" t="n">
        <v>0</v>
      </c>
      <c r="N146" t="n">
        <v>0</v>
      </c>
      <c r="O146" t="n">
        <v>0</v>
      </c>
      <c r="P146" t="n">
        <v>0</v>
      </c>
      <c r="Q146" t="n">
        <v>0</v>
      </c>
      <c r="R146" t="n">
        <v>0</v>
      </c>
      <c r="S146" t="n">
        <v>0</v>
      </c>
      <c r="T146" t="n">
        <v>0</v>
      </c>
      <c r="U146" s="2" t="inlineStr"/>
    </row>
    <row r="147" ht="15" customHeight="1">
      <c r="A147" t="inlineStr">
        <is>
          <t>A 44618-2023</t>
        </is>
      </c>
      <c r="B147" t="inlineStr">
        <is>
          <t>avverkningsanmälan</t>
        </is>
      </c>
      <c r="C147" t="inlineStr">
        <is>
          <t>Föryngringsavverkning</t>
        </is>
      </c>
      <c r="D147" s="1" t="n">
        <v>45189</v>
      </c>
      <c r="E147" s="1" t="n">
        <v>46218</v>
      </c>
      <c r="F147" t="inlineStr">
        <is>
          <t>SÖDERMANLANDS LÄN</t>
        </is>
      </c>
      <c r="G147" t="inlineStr">
        <is>
          <t>STRÄNGNÄS</t>
        </is>
      </c>
      <c r="I147" t="n">
        <v>4.5</v>
      </c>
      <c r="J147" t="n">
        <v>0</v>
      </c>
      <c r="K147" t="n">
        <v>0</v>
      </c>
      <c r="L147" t="n">
        <v>0</v>
      </c>
      <c r="M147" t="n">
        <v>0</v>
      </c>
      <c r="N147" t="n">
        <v>0</v>
      </c>
      <c r="O147" t="n">
        <v>0</v>
      </c>
      <c r="P147" t="n">
        <v>0</v>
      </c>
      <c r="Q147" t="n">
        <v>0</v>
      </c>
      <c r="R147" t="n">
        <v>0</v>
      </c>
      <c r="S147" t="n">
        <v>0</v>
      </c>
      <c r="T147" t="n">
        <v>0</v>
      </c>
      <c r="U147" s="2" t="inlineStr"/>
    </row>
    <row r="148" ht="15" customHeight="1">
      <c r="A148" t="inlineStr">
        <is>
          <t>A 48875-2023</t>
        </is>
      </c>
      <c r="B148" t="inlineStr">
        <is>
          <t>avverkningsanmälan</t>
        </is>
      </c>
      <c r="C148" t="inlineStr">
        <is>
          <t>Föryngringsavverkning</t>
        </is>
      </c>
      <c r="D148" s="1" t="n">
        <v>45204</v>
      </c>
      <c r="E148" s="1" t="n">
        <v>46218</v>
      </c>
      <c r="F148" t="inlineStr">
        <is>
          <t>SÖDERMANLANDS LÄN</t>
        </is>
      </c>
      <c r="G148" t="inlineStr">
        <is>
          <t>STRÄNGNÄS</t>
        </is>
      </c>
      <c r="I148" t="n">
        <v>1.7</v>
      </c>
      <c r="J148" t="n">
        <v>0</v>
      </c>
      <c r="K148" t="n">
        <v>0</v>
      </c>
      <c r="L148" t="n">
        <v>0</v>
      </c>
      <c r="M148" t="n">
        <v>0</v>
      </c>
      <c r="N148" t="n">
        <v>0</v>
      </c>
      <c r="O148" t="n">
        <v>0</v>
      </c>
      <c r="P148" t="n">
        <v>0</v>
      </c>
      <c r="Q148" t="n">
        <v>0</v>
      </c>
      <c r="R148" t="n">
        <v>0</v>
      </c>
      <c r="S148" t="n">
        <v>0</v>
      </c>
      <c r="T148" t="n">
        <v>0</v>
      </c>
      <c r="U148" s="2" t="inlineStr"/>
    </row>
    <row r="149" ht="15" customHeight="1">
      <c r="A149" t="inlineStr">
        <is>
          <t>A 864-2023</t>
        </is>
      </c>
      <c r="B149" t="inlineStr">
        <is>
          <t>avverkningsanmälan</t>
        </is>
      </c>
      <c r="C149" t="inlineStr">
        <is>
          <t>Föryngringsavverkning</t>
        </is>
      </c>
      <c r="D149" s="1" t="n">
        <v>44931</v>
      </c>
      <c r="E149" s="1" t="n">
        <v>46218</v>
      </c>
      <c r="F149" t="inlineStr">
        <is>
          <t>SÖDERMANLANDS LÄN</t>
        </is>
      </c>
      <c r="G149" t="inlineStr">
        <is>
          <t>STRÄNGNÄS</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13613-2023</t>
        </is>
      </c>
      <c r="B150" t="inlineStr">
        <is>
          <t>avverkningsanmälan</t>
        </is>
      </c>
      <c r="C150" t="inlineStr">
        <is>
          <t>Föryngringsavverkning</t>
        </is>
      </c>
      <c r="D150" s="1" t="n">
        <v>45006</v>
      </c>
      <c r="E150" s="1" t="n">
        <v>46218</v>
      </c>
      <c r="F150" t="inlineStr">
        <is>
          <t>SÖDERMANLANDS LÄN</t>
        </is>
      </c>
      <c r="G150" t="inlineStr">
        <is>
          <t>STRÄNGNÄS</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65153-2023</t>
        </is>
      </c>
      <c r="B151" t="inlineStr">
        <is>
          <t>avverkningsanmälan</t>
        </is>
      </c>
      <c r="C151" t="inlineStr">
        <is>
          <t>Föryngringsavverkning</t>
        </is>
      </c>
      <c r="D151" s="1" t="n">
        <v>45288</v>
      </c>
      <c r="E151" s="1" t="n">
        <v>46218</v>
      </c>
      <c r="F151" t="inlineStr">
        <is>
          <t>SÖDERMANLANDS LÄN</t>
        </is>
      </c>
      <c r="G151" t="inlineStr">
        <is>
          <t>STRÄNGNÄS</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42726-2023</t>
        </is>
      </c>
      <c r="B152" t="inlineStr">
        <is>
          <t>avverkningsanmälan</t>
        </is>
      </c>
      <c r="C152" t="inlineStr">
        <is>
          <t>Föryngringsavverkning</t>
        </is>
      </c>
      <c r="D152" s="1" t="n">
        <v>45181</v>
      </c>
      <c r="E152" s="1" t="n">
        <v>46218</v>
      </c>
      <c r="F152" t="inlineStr">
        <is>
          <t>SÖDERMANLANDS LÄN</t>
        </is>
      </c>
      <c r="G152" t="inlineStr">
        <is>
          <t>STRÄNGNÄS</t>
        </is>
      </c>
      <c r="I152" t="n">
        <v>2.7</v>
      </c>
      <c r="J152" t="n">
        <v>0</v>
      </c>
      <c r="K152" t="n">
        <v>0</v>
      </c>
      <c r="L152" t="n">
        <v>0</v>
      </c>
      <c r="M152" t="n">
        <v>0</v>
      </c>
      <c r="N152" t="n">
        <v>0</v>
      </c>
      <c r="O152" t="n">
        <v>0</v>
      </c>
      <c r="P152" t="n">
        <v>0</v>
      </c>
      <c r="Q152" t="n">
        <v>0</v>
      </c>
      <c r="R152" t="n">
        <v>0</v>
      </c>
      <c r="S152" t="n">
        <v>0</v>
      </c>
      <c r="T152" t="n">
        <v>0</v>
      </c>
      <c r="U152" s="2" t="inlineStr"/>
    </row>
    <row r="153" ht="15" customHeight="1">
      <c r="A153" t="inlineStr">
        <is>
          <t>A 15193-2023</t>
        </is>
      </c>
      <c r="B153" t="inlineStr">
        <is>
          <t>avverkningsanmälan</t>
        </is>
      </c>
      <c r="C153" t="inlineStr">
        <is>
          <t>Föryngringsavverkning</t>
        </is>
      </c>
      <c r="D153" s="1" t="n">
        <v>45016</v>
      </c>
      <c r="E153" s="1" t="n">
        <v>46218</v>
      </c>
      <c r="F153" t="inlineStr">
        <is>
          <t>SÖDERMANLANDS LÄN</t>
        </is>
      </c>
      <c r="G153" t="inlineStr">
        <is>
          <t>STRÄNGNÄS</t>
        </is>
      </c>
      <c r="I153" t="n">
        <v>7.6</v>
      </c>
      <c r="J153" t="n">
        <v>0</v>
      </c>
      <c r="K153" t="n">
        <v>0</v>
      </c>
      <c r="L153" t="n">
        <v>0</v>
      </c>
      <c r="M153" t="n">
        <v>0</v>
      </c>
      <c r="N153" t="n">
        <v>0</v>
      </c>
      <c r="O153" t="n">
        <v>0</v>
      </c>
      <c r="P153" t="n">
        <v>0</v>
      </c>
      <c r="Q153" t="n">
        <v>0</v>
      </c>
      <c r="R153" t="n">
        <v>0</v>
      </c>
      <c r="S153" t="n">
        <v>0</v>
      </c>
      <c r="T153" t="n">
        <v>0</v>
      </c>
      <c r="U153" s="2" t="inlineStr"/>
    </row>
    <row r="154" ht="15" customHeight="1">
      <c r="A154" t="inlineStr">
        <is>
          <t>A 20815-2023</t>
        </is>
      </c>
      <c r="B154" t="inlineStr">
        <is>
          <t>avverkningsanmälan</t>
        </is>
      </c>
      <c r="C154" t="inlineStr">
        <is>
          <t>Föryngringsavverkning</t>
        </is>
      </c>
      <c r="D154" s="1" t="n">
        <v>45058</v>
      </c>
      <c r="E154" s="1" t="n">
        <v>46218</v>
      </c>
      <c r="F154" t="inlineStr">
        <is>
          <t>SÖDERMANLANDS LÄN</t>
        </is>
      </c>
      <c r="G154" t="inlineStr">
        <is>
          <t>STRÄNGNÄS</t>
        </is>
      </c>
      <c r="I154" t="n">
        <v>2.1</v>
      </c>
      <c r="J154" t="n">
        <v>0</v>
      </c>
      <c r="K154" t="n">
        <v>0</v>
      </c>
      <c r="L154" t="n">
        <v>0</v>
      </c>
      <c r="M154" t="n">
        <v>0</v>
      </c>
      <c r="N154" t="n">
        <v>0</v>
      </c>
      <c r="O154" t="n">
        <v>0</v>
      </c>
      <c r="P154" t="n">
        <v>0</v>
      </c>
      <c r="Q154" t="n">
        <v>0</v>
      </c>
      <c r="R154" t="n">
        <v>0</v>
      </c>
      <c r="S154" t="n">
        <v>0</v>
      </c>
      <c r="T154" t="n">
        <v>0</v>
      </c>
      <c r="U154" s="2" t="inlineStr"/>
    </row>
    <row r="155" ht="15" customHeight="1">
      <c r="A155" t="inlineStr">
        <is>
          <t>A 43412-2021</t>
        </is>
      </c>
      <c r="B155" t="inlineStr">
        <is>
          <t>avverkningsanmälan</t>
        </is>
      </c>
      <c r="C155" t="inlineStr">
        <is>
          <t>Föryngringsavverkning</t>
        </is>
      </c>
      <c r="D155" s="1" t="n">
        <v>44432</v>
      </c>
      <c r="E155" s="1" t="n">
        <v>46218</v>
      </c>
      <c r="F155" t="inlineStr">
        <is>
          <t>SÖDERMANLANDS LÄN</t>
        </is>
      </c>
      <c r="G155" t="inlineStr">
        <is>
          <t>STRÄNGNÄS</t>
        </is>
      </c>
      <c r="I155" t="n">
        <v>10</v>
      </c>
      <c r="J155" t="n">
        <v>0</v>
      </c>
      <c r="K155" t="n">
        <v>0</v>
      </c>
      <c r="L155" t="n">
        <v>0</v>
      </c>
      <c r="M155" t="n">
        <v>0</v>
      </c>
      <c r="N155" t="n">
        <v>0</v>
      </c>
      <c r="O155" t="n">
        <v>0</v>
      </c>
      <c r="P155" t="n">
        <v>0</v>
      </c>
      <c r="Q155" t="n">
        <v>0</v>
      </c>
      <c r="R155" t="n">
        <v>0</v>
      </c>
      <c r="S155" t="n">
        <v>0</v>
      </c>
      <c r="T155" t="n">
        <v>0</v>
      </c>
      <c r="U155" s="2" t="inlineStr"/>
    </row>
    <row r="156" ht="15" customHeight="1">
      <c r="A156" t="inlineStr">
        <is>
          <t>A 35495-2023</t>
        </is>
      </c>
      <c r="B156" t="inlineStr">
        <is>
          <t>avverkningsanmälan</t>
        </is>
      </c>
      <c r="C156" t="inlineStr">
        <is>
          <t>Föryngringsavverkning</t>
        </is>
      </c>
      <c r="D156" s="1" t="n">
        <v>45146</v>
      </c>
      <c r="E156" s="1" t="n">
        <v>46218</v>
      </c>
      <c r="F156" t="inlineStr">
        <is>
          <t>SÖDERMANLANDS LÄN</t>
        </is>
      </c>
      <c r="G156" t="inlineStr">
        <is>
          <t>STRÄNGNÄS</t>
        </is>
      </c>
      <c r="I156" t="n">
        <v>7.4</v>
      </c>
      <c r="J156" t="n">
        <v>0</v>
      </c>
      <c r="K156" t="n">
        <v>0</v>
      </c>
      <c r="L156" t="n">
        <v>0</v>
      </c>
      <c r="M156" t="n">
        <v>0</v>
      </c>
      <c r="N156" t="n">
        <v>0</v>
      </c>
      <c r="O156" t="n">
        <v>0</v>
      </c>
      <c r="P156" t="n">
        <v>0</v>
      </c>
      <c r="Q156" t="n">
        <v>0</v>
      </c>
      <c r="R156" t="n">
        <v>0</v>
      </c>
      <c r="S156" t="n">
        <v>0</v>
      </c>
      <c r="T156" t="n">
        <v>0</v>
      </c>
      <c r="U156" s="2" t="inlineStr"/>
    </row>
    <row r="157" ht="15" customHeight="1">
      <c r="A157" t="inlineStr">
        <is>
          <t>A 34364-2023</t>
        </is>
      </c>
      <c r="B157" t="inlineStr">
        <is>
          <t>avverkningsanmälan</t>
        </is>
      </c>
      <c r="C157" t="inlineStr">
        <is>
          <t>Föryngringsavverkning</t>
        </is>
      </c>
      <c r="D157" s="1" t="n">
        <v>45131</v>
      </c>
      <c r="E157" s="1" t="n">
        <v>46218</v>
      </c>
      <c r="F157" t="inlineStr">
        <is>
          <t>SÖDERMANLANDS LÄN</t>
        </is>
      </c>
      <c r="G157" t="inlineStr">
        <is>
          <t>STRÄNGNÄS</t>
        </is>
      </c>
      <c r="I157" t="n">
        <v>3.8</v>
      </c>
      <c r="J157" t="n">
        <v>0</v>
      </c>
      <c r="K157" t="n">
        <v>0</v>
      </c>
      <c r="L157" t="n">
        <v>0</v>
      </c>
      <c r="M157" t="n">
        <v>0</v>
      </c>
      <c r="N157" t="n">
        <v>0</v>
      </c>
      <c r="O157" t="n">
        <v>0</v>
      </c>
      <c r="P157" t="n">
        <v>0</v>
      </c>
      <c r="Q157" t="n">
        <v>0</v>
      </c>
      <c r="R157" t="n">
        <v>0</v>
      </c>
      <c r="S157" t="n">
        <v>0</v>
      </c>
      <c r="T157" t="n">
        <v>0</v>
      </c>
      <c r="U157" s="2" t="inlineStr"/>
    </row>
    <row r="158" ht="15" customHeight="1">
      <c r="A158" t="inlineStr">
        <is>
          <t>A 3759-2025</t>
        </is>
      </c>
      <c r="B158" t="inlineStr">
        <is>
          <t>avverkningsanmälan</t>
        </is>
      </c>
      <c r="C158" t="inlineStr">
        <is>
          <t>Föryngringsavverkning</t>
        </is>
      </c>
      <c r="D158" s="1" t="n">
        <v>45681</v>
      </c>
      <c r="E158" s="1" t="n">
        <v>46218</v>
      </c>
      <c r="F158" t="inlineStr">
        <is>
          <t>SÖDERMANLANDS LÄN</t>
        </is>
      </c>
      <c r="G158" t="inlineStr">
        <is>
          <t>STRÄNGNÄS</t>
        </is>
      </c>
      <c r="I158" t="n">
        <v>2.8</v>
      </c>
      <c r="J158" t="n">
        <v>0</v>
      </c>
      <c r="K158" t="n">
        <v>0</v>
      </c>
      <c r="L158" t="n">
        <v>0</v>
      </c>
      <c r="M158" t="n">
        <v>0</v>
      </c>
      <c r="N158" t="n">
        <v>0</v>
      </c>
      <c r="O158" t="n">
        <v>0</v>
      </c>
      <c r="P158" t="n">
        <v>0</v>
      </c>
      <c r="Q158" t="n">
        <v>0</v>
      </c>
      <c r="R158" t="n">
        <v>0</v>
      </c>
      <c r="S158" t="n">
        <v>0</v>
      </c>
      <c r="T158" t="n">
        <v>0</v>
      </c>
      <c r="U158" s="2" t="inlineStr"/>
    </row>
    <row r="159" ht="15" customHeight="1">
      <c r="A159" t="inlineStr">
        <is>
          <t>A 3761-2025</t>
        </is>
      </c>
      <c r="B159" t="inlineStr">
        <is>
          <t>avverkningsanmälan</t>
        </is>
      </c>
      <c r="C159" t="inlineStr">
        <is>
          <t>Föryngringsavverkning</t>
        </is>
      </c>
      <c r="D159" s="1" t="n">
        <v>45681</v>
      </c>
      <c r="E159" s="1" t="n">
        <v>46218</v>
      </c>
      <c r="F159" t="inlineStr">
        <is>
          <t>SÖDERMANLANDS LÄN</t>
        </is>
      </c>
      <c r="G159" t="inlineStr">
        <is>
          <t>STRÄNGNÄS</t>
        </is>
      </c>
      <c r="I159" t="n">
        <v>1.9</v>
      </c>
      <c r="J159" t="n">
        <v>0</v>
      </c>
      <c r="K159" t="n">
        <v>0</v>
      </c>
      <c r="L159" t="n">
        <v>0</v>
      </c>
      <c r="M159" t="n">
        <v>0</v>
      </c>
      <c r="N159" t="n">
        <v>0</v>
      </c>
      <c r="O159" t="n">
        <v>0</v>
      </c>
      <c r="P159" t="n">
        <v>0</v>
      </c>
      <c r="Q159" t="n">
        <v>0</v>
      </c>
      <c r="R159" t="n">
        <v>0</v>
      </c>
      <c r="S159" t="n">
        <v>0</v>
      </c>
      <c r="T159" t="n">
        <v>0</v>
      </c>
      <c r="U159" s="2" t="inlineStr"/>
    </row>
    <row r="160" ht="15" customHeight="1">
      <c r="A160" t="inlineStr">
        <is>
          <t>A 58518-2021</t>
        </is>
      </c>
      <c r="B160" t="inlineStr">
        <is>
          <t>avverkningsanmälan</t>
        </is>
      </c>
      <c r="C160" t="inlineStr">
        <is>
          <t>Föryngringsavverkning</t>
        </is>
      </c>
      <c r="D160" s="1" t="n">
        <v>44488</v>
      </c>
      <c r="E160" s="1" t="n">
        <v>46218</v>
      </c>
      <c r="F160" t="inlineStr">
        <is>
          <t>SÖDERMANLANDS LÄN</t>
        </is>
      </c>
      <c r="G160" t="inlineStr">
        <is>
          <t>STRÄNGNÄS</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63732-2021</t>
        </is>
      </c>
      <c r="B161" t="inlineStr">
        <is>
          <t>avverkningsanmälan</t>
        </is>
      </c>
      <c r="C161" t="inlineStr">
        <is>
          <t>Föryngringsavverkning</t>
        </is>
      </c>
      <c r="D161" s="1" t="n">
        <v>44508</v>
      </c>
      <c r="E161" s="1" t="n">
        <v>46218</v>
      </c>
      <c r="F161" t="inlineStr">
        <is>
          <t>SÖDERMANLANDS LÄN</t>
        </is>
      </c>
      <c r="G161" t="inlineStr">
        <is>
          <t>STRÄNGNÄS</t>
        </is>
      </c>
      <c r="I161" t="n">
        <v>6.1</v>
      </c>
      <c r="J161" t="n">
        <v>0</v>
      </c>
      <c r="K161" t="n">
        <v>0</v>
      </c>
      <c r="L161" t="n">
        <v>0</v>
      </c>
      <c r="M161" t="n">
        <v>0</v>
      </c>
      <c r="N161" t="n">
        <v>0</v>
      </c>
      <c r="O161" t="n">
        <v>0</v>
      </c>
      <c r="P161" t="n">
        <v>0</v>
      </c>
      <c r="Q161" t="n">
        <v>0</v>
      </c>
      <c r="R161" t="n">
        <v>0</v>
      </c>
      <c r="S161" t="n">
        <v>0</v>
      </c>
      <c r="T161" t="n">
        <v>0</v>
      </c>
      <c r="U161" s="2" t="inlineStr"/>
    </row>
    <row r="162" ht="15" customHeight="1">
      <c r="A162" t="inlineStr">
        <is>
          <t>A 8493-2022</t>
        </is>
      </c>
      <c r="B162" t="inlineStr">
        <is>
          <t>avverkningsanmälan</t>
        </is>
      </c>
      <c r="C162" t="inlineStr">
        <is>
          <t>Föryngringsavverkning</t>
        </is>
      </c>
      <c r="D162" s="1" t="n">
        <v>44613</v>
      </c>
      <c r="E162" s="1" t="n">
        <v>46218</v>
      </c>
      <c r="F162" t="inlineStr">
        <is>
          <t>SÖDERMANLANDS LÄN</t>
        </is>
      </c>
      <c r="G162" t="inlineStr">
        <is>
          <t>STRÄNGNÄS</t>
        </is>
      </c>
      <c r="I162" t="n">
        <v>3</v>
      </c>
      <c r="J162" t="n">
        <v>0</v>
      </c>
      <c r="K162" t="n">
        <v>0</v>
      </c>
      <c r="L162" t="n">
        <v>0</v>
      </c>
      <c r="M162" t="n">
        <v>0</v>
      </c>
      <c r="N162" t="n">
        <v>0</v>
      </c>
      <c r="O162" t="n">
        <v>0</v>
      </c>
      <c r="P162" t="n">
        <v>0</v>
      </c>
      <c r="Q162" t="n">
        <v>0</v>
      </c>
      <c r="R162" t="n">
        <v>0</v>
      </c>
      <c r="S162" t="n">
        <v>0</v>
      </c>
      <c r="T162" t="n">
        <v>0</v>
      </c>
      <c r="U162" s="2" t="inlineStr"/>
    </row>
    <row r="163" ht="15" customHeight="1">
      <c r="A163" t="inlineStr">
        <is>
          <t>A 60748-2021</t>
        </is>
      </c>
      <c r="B163" t="inlineStr">
        <is>
          <t>avverkningsanmälan</t>
        </is>
      </c>
      <c r="C163" t="inlineStr">
        <is>
          <t>Föryngringsavverkning</t>
        </is>
      </c>
      <c r="D163" s="1" t="n">
        <v>44496</v>
      </c>
      <c r="E163" s="1" t="n">
        <v>46218</v>
      </c>
      <c r="F163" t="inlineStr">
        <is>
          <t>SÖDERMANLANDS LÄN</t>
        </is>
      </c>
      <c r="G163" t="inlineStr">
        <is>
          <t>STRÄNGNÄS</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46882-2023</t>
        </is>
      </c>
      <c r="B164" t="inlineStr">
        <is>
          <t>avverkningsanmälan</t>
        </is>
      </c>
      <c r="C164" t="inlineStr">
        <is>
          <t>Föryngringsavverkning</t>
        </is>
      </c>
      <c r="D164" s="1" t="n">
        <v>45201</v>
      </c>
      <c r="E164" s="1" t="n">
        <v>46218</v>
      </c>
      <c r="F164" t="inlineStr">
        <is>
          <t>SÖDERMANLANDS LÄN</t>
        </is>
      </c>
      <c r="G164" t="inlineStr">
        <is>
          <t>STRÄNGNÄS</t>
        </is>
      </c>
      <c r="I164" t="n">
        <v>8.5</v>
      </c>
      <c r="J164" t="n">
        <v>0</v>
      </c>
      <c r="K164" t="n">
        <v>0</v>
      </c>
      <c r="L164" t="n">
        <v>0</v>
      </c>
      <c r="M164" t="n">
        <v>0</v>
      </c>
      <c r="N164" t="n">
        <v>0</v>
      </c>
      <c r="O164" t="n">
        <v>0</v>
      </c>
      <c r="P164" t="n">
        <v>0</v>
      </c>
      <c r="Q164" t="n">
        <v>0</v>
      </c>
      <c r="R164" t="n">
        <v>0</v>
      </c>
      <c r="S164" t="n">
        <v>0</v>
      </c>
      <c r="T164" t="n">
        <v>0</v>
      </c>
      <c r="U164" s="2" t="inlineStr"/>
    </row>
    <row r="165" ht="15" customHeight="1">
      <c r="A165" t="inlineStr">
        <is>
          <t>A 41503-2022</t>
        </is>
      </c>
      <c r="B165" t="inlineStr">
        <is>
          <t>avverkningsanmälan</t>
        </is>
      </c>
      <c r="C165" t="inlineStr">
        <is>
          <t>Föryngringsavverkning</t>
        </is>
      </c>
      <c r="D165" s="1" t="n">
        <v>44827</v>
      </c>
      <c r="E165" s="1" t="n">
        <v>46218</v>
      </c>
      <c r="F165" t="inlineStr">
        <is>
          <t>SÖDERMANLANDS LÄN</t>
        </is>
      </c>
      <c r="G165" t="inlineStr">
        <is>
          <t>STRÄNGNÄS</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18358-2024</t>
        </is>
      </c>
      <c r="B166" t="inlineStr">
        <is>
          <t>avverkningsanmälan</t>
        </is>
      </c>
      <c r="C166" t="inlineStr">
        <is>
          <t>Föryngringsavverkning</t>
        </is>
      </c>
      <c r="D166" s="1" t="n">
        <v>45422</v>
      </c>
      <c r="E166" s="1" t="n">
        <v>46218</v>
      </c>
      <c r="F166" t="inlineStr">
        <is>
          <t>SÖDERMANLANDS LÄN</t>
        </is>
      </c>
      <c r="G166" t="inlineStr">
        <is>
          <t>STRÄNGNÄS</t>
        </is>
      </c>
      <c r="I166" t="n">
        <v>2</v>
      </c>
      <c r="J166" t="n">
        <v>0</v>
      </c>
      <c r="K166" t="n">
        <v>0</v>
      </c>
      <c r="L166" t="n">
        <v>0</v>
      </c>
      <c r="M166" t="n">
        <v>0</v>
      </c>
      <c r="N166" t="n">
        <v>0</v>
      </c>
      <c r="O166" t="n">
        <v>0</v>
      </c>
      <c r="P166" t="n">
        <v>0</v>
      </c>
      <c r="Q166" t="n">
        <v>0</v>
      </c>
      <c r="R166" t="n">
        <v>0</v>
      </c>
      <c r="S166" t="n">
        <v>0</v>
      </c>
      <c r="T166" t="n">
        <v>0</v>
      </c>
      <c r="U166" s="2" t="inlineStr"/>
    </row>
    <row r="167" ht="15" customHeight="1">
      <c r="A167" t="inlineStr">
        <is>
          <t>A 18242-2023</t>
        </is>
      </c>
      <c r="B167" t="inlineStr">
        <is>
          <t>avverkningsanmälan</t>
        </is>
      </c>
      <c r="C167" t="inlineStr">
        <is>
          <t>Föryngringsavverkning</t>
        </is>
      </c>
      <c r="D167" s="1" t="n">
        <v>45041</v>
      </c>
      <c r="E167" s="1" t="n">
        <v>46218</v>
      </c>
      <c r="F167" t="inlineStr">
        <is>
          <t>SÖDERMANLANDS LÄN</t>
        </is>
      </c>
      <c r="G167" t="inlineStr">
        <is>
          <t>STRÄNGNÄS</t>
        </is>
      </c>
      <c r="H167" t="inlineStr">
        <is>
          <t>Allmännings- och besparingsskogar</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15572-2024</t>
        </is>
      </c>
      <c r="B168" t="inlineStr">
        <is>
          <t>avverkningsanmälan</t>
        </is>
      </c>
      <c r="C168" t="inlineStr">
        <is>
          <t>Föryngringsavverkning</t>
        </is>
      </c>
      <c r="D168" s="1" t="n">
        <v>45401</v>
      </c>
      <c r="E168" s="1" t="n">
        <v>46218</v>
      </c>
      <c r="F168" t="inlineStr">
        <is>
          <t>SÖDERMANLANDS LÄN</t>
        </is>
      </c>
      <c r="G168" t="inlineStr">
        <is>
          <t>STRÄNGNÄS</t>
        </is>
      </c>
      <c r="I168" t="n">
        <v>7.4</v>
      </c>
      <c r="J168" t="n">
        <v>0</v>
      </c>
      <c r="K168" t="n">
        <v>0</v>
      </c>
      <c r="L168" t="n">
        <v>0</v>
      </c>
      <c r="M168" t="n">
        <v>0</v>
      </c>
      <c r="N168" t="n">
        <v>0</v>
      </c>
      <c r="O168" t="n">
        <v>0</v>
      </c>
      <c r="P168" t="n">
        <v>0</v>
      </c>
      <c r="Q168" t="n">
        <v>0</v>
      </c>
      <c r="R168" t="n">
        <v>0</v>
      </c>
      <c r="S168" t="n">
        <v>0</v>
      </c>
      <c r="T168" t="n">
        <v>0</v>
      </c>
      <c r="U168" s="2" t="inlineStr"/>
    </row>
    <row r="169" ht="15" customHeight="1">
      <c r="A169" t="inlineStr">
        <is>
          <t>A 5849-2023</t>
        </is>
      </c>
      <c r="B169" t="inlineStr">
        <is>
          <t>avverkningsanmälan</t>
        </is>
      </c>
      <c r="C169" t="inlineStr">
        <is>
          <t>Föryngringsavverkning</t>
        </is>
      </c>
      <c r="D169" s="1" t="n">
        <v>44963</v>
      </c>
      <c r="E169" s="1" t="n">
        <v>46218</v>
      </c>
      <c r="F169" t="inlineStr">
        <is>
          <t>SÖDERMANLANDS LÄN</t>
        </is>
      </c>
      <c r="G169" t="inlineStr">
        <is>
          <t>STRÄNGNÄS</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3121-2023</t>
        </is>
      </c>
      <c r="B170" t="inlineStr">
        <is>
          <t>avverkningsanmälan</t>
        </is>
      </c>
      <c r="C170" t="inlineStr">
        <is>
          <t>Föryngringsavverkning</t>
        </is>
      </c>
      <c r="D170" s="1" t="n">
        <v>44946</v>
      </c>
      <c r="E170" s="1" t="n">
        <v>46218</v>
      </c>
      <c r="F170" t="inlineStr">
        <is>
          <t>SÖDERMANLANDS LÄN</t>
        </is>
      </c>
      <c r="G170" t="inlineStr">
        <is>
          <t>STRÄNGNÄS</t>
        </is>
      </c>
      <c r="I170" t="n">
        <v>2.3</v>
      </c>
      <c r="J170" t="n">
        <v>0</v>
      </c>
      <c r="K170" t="n">
        <v>0</v>
      </c>
      <c r="L170" t="n">
        <v>0</v>
      </c>
      <c r="M170" t="n">
        <v>0</v>
      </c>
      <c r="N170" t="n">
        <v>0</v>
      </c>
      <c r="O170" t="n">
        <v>0</v>
      </c>
      <c r="P170" t="n">
        <v>0</v>
      </c>
      <c r="Q170" t="n">
        <v>0</v>
      </c>
      <c r="R170" t="n">
        <v>0</v>
      </c>
      <c r="S170" t="n">
        <v>0</v>
      </c>
      <c r="T170" t="n">
        <v>0</v>
      </c>
      <c r="U170" s="2" t="inlineStr"/>
    </row>
    <row r="171" ht="15" customHeight="1">
      <c r="A171" t="inlineStr">
        <is>
          <t>A 30375-2022</t>
        </is>
      </c>
      <c r="B171" t="inlineStr">
        <is>
          <t>avverkningsanmälan</t>
        </is>
      </c>
      <c r="C171" t="inlineStr">
        <is>
          <t>Föryngringsavverkning</t>
        </is>
      </c>
      <c r="D171" s="1" t="n">
        <v>44760</v>
      </c>
      <c r="E171" s="1" t="n">
        <v>46218</v>
      </c>
      <c r="F171" t="inlineStr">
        <is>
          <t>SÖDERMANLANDS LÄN</t>
        </is>
      </c>
      <c r="G171" t="inlineStr">
        <is>
          <t>STRÄNGNÄS</t>
        </is>
      </c>
      <c r="I171" t="n">
        <v>5</v>
      </c>
      <c r="J171" t="n">
        <v>0</v>
      </c>
      <c r="K171" t="n">
        <v>0</v>
      </c>
      <c r="L171" t="n">
        <v>0</v>
      </c>
      <c r="M171" t="n">
        <v>0</v>
      </c>
      <c r="N171" t="n">
        <v>0</v>
      </c>
      <c r="O171" t="n">
        <v>0</v>
      </c>
      <c r="P171" t="n">
        <v>0</v>
      </c>
      <c r="Q171" t="n">
        <v>0</v>
      </c>
      <c r="R171" t="n">
        <v>0</v>
      </c>
      <c r="S171" t="n">
        <v>0</v>
      </c>
      <c r="T171" t="n">
        <v>0</v>
      </c>
      <c r="U171" s="2" t="inlineStr"/>
    </row>
    <row r="172" ht="15" customHeight="1">
      <c r="A172" t="inlineStr">
        <is>
          <t>A 43386-2022</t>
        </is>
      </c>
      <c r="B172" t="inlineStr">
        <is>
          <t>avverkningsanmälan</t>
        </is>
      </c>
      <c r="C172" t="inlineStr">
        <is>
          <t>Föryngringsavverkning</t>
        </is>
      </c>
      <c r="D172" s="1" t="n">
        <v>44834</v>
      </c>
      <c r="E172" s="1" t="n">
        <v>46218</v>
      </c>
      <c r="F172" t="inlineStr">
        <is>
          <t>SÖDERMANLANDS LÄN</t>
        </is>
      </c>
      <c r="G172" t="inlineStr">
        <is>
          <t>STRÄNGNÄS</t>
        </is>
      </c>
      <c r="I172" t="n">
        <v>5.1</v>
      </c>
      <c r="J172" t="n">
        <v>0</v>
      </c>
      <c r="K172" t="n">
        <v>0</v>
      </c>
      <c r="L172" t="n">
        <v>0</v>
      </c>
      <c r="M172" t="n">
        <v>0</v>
      </c>
      <c r="N172" t="n">
        <v>0</v>
      </c>
      <c r="O172" t="n">
        <v>0</v>
      </c>
      <c r="P172" t="n">
        <v>0</v>
      </c>
      <c r="Q172" t="n">
        <v>0</v>
      </c>
      <c r="R172" t="n">
        <v>0</v>
      </c>
      <c r="S172" t="n">
        <v>0</v>
      </c>
      <c r="T172" t="n">
        <v>0</v>
      </c>
      <c r="U172" s="2" t="inlineStr"/>
    </row>
    <row r="173" ht="15" customHeight="1">
      <c r="A173" t="inlineStr">
        <is>
          <t>A 5458-2025</t>
        </is>
      </c>
      <c r="B173" t="inlineStr">
        <is>
          <t>avverkningsanmälan</t>
        </is>
      </c>
      <c r="C173" t="inlineStr">
        <is>
          <t>Föryngringsavverkning</t>
        </is>
      </c>
      <c r="D173" s="1" t="n">
        <v>45692</v>
      </c>
      <c r="E173" s="1" t="n">
        <v>46218</v>
      </c>
      <c r="F173" t="inlineStr">
        <is>
          <t>SÖDERMANLANDS LÄN</t>
        </is>
      </c>
      <c r="G173" t="inlineStr">
        <is>
          <t>STRÄNGNÄS</t>
        </is>
      </c>
      <c r="I173" t="n">
        <v>2.3</v>
      </c>
      <c r="J173" t="n">
        <v>0</v>
      </c>
      <c r="K173" t="n">
        <v>0</v>
      </c>
      <c r="L173" t="n">
        <v>0</v>
      </c>
      <c r="M173" t="n">
        <v>0</v>
      </c>
      <c r="N173" t="n">
        <v>0</v>
      </c>
      <c r="O173" t="n">
        <v>0</v>
      </c>
      <c r="P173" t="n">
        <v>0</v>
      </c>
      <c r="Q173" t="n">
        <v>0</v>
      </c>
      <c r="R173" t="n">
        <v>0</v>
      </c>
      <c r="S173" t="n">
        <v>0</v>
      </c>
      <c r="T173" t="n">
        <v>0</v>
      </c>
      <c r="U173" s="2" t="inlineStr"/>
    </row>
    <row r="174" ht="15" customHeight="1">
      <c r="A174" t="inlineStr">
        <is>
          <t>A 39448-2024</t>
        </is>
      </c>
      <c r="B174" t="inlineStr">
        <is>
          <t>avverkningsanmälan</t>
        </is>
      </c>
      <c r="C174" t="inlineStr">
        <is>
          <t>Föryngringsavverkning</t>
        </is>
      </c>
      <c r="D174" s="1" t="n">
        <v>45551</v>
      </c>
      <c r="E174" s="1" t="n">
        <v>46218</v>
      </c>
      <c r="F174" t="inlineStr">
        <is>
          <t>SÖDERMANLANDS LÄN</t>
        </is>
      </c>
      <c r="G174" t="inlineStr">
        <is>
          <t>STRÄNGNÄS</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12546-2025</t>
        </is>
      </c>
      <c r="B175" t="inlineStr">
        <is>
          <t>avverkningsanmälan</t>
        </is>
      </c>
      <c r="C175" t="inlineStr">
        <is>
          <t>Avverkning för annat ändamål</t>
        </is>
      </c>
      <c r="D175" s="1" t="n">
        <v>45730</v>
      </c>
      <c r="E175" s="1" t="n">
        <v>46218</v>
      </c>
      <c r="F175" t="inlineStr">
        <is>
          <t>SÖDERMANLANDS LÄN</t>
        </is>
      </c>
      <c r="G175" t="inlineStr">
        <is>
          <t>STRÄNGNÄS</t>
        </is>
      </c>
      <c r="I175" t="n">
        <v>9</v>
      </c>
      <c r="J175" t="n">
        <v>0</v>
      </c>
      <c r="K175" t="n">
        <v>0</v>
      </c>
      <c r="L175" t="n">
        <v>0</v>
      </c>
      <c r="M175" t="n">
        <v>0</v>
      </c>
      <c r="N175" t="n">
        <v>0</v>
      </c>
      <c r="O175" t="n">
        <v>0</v>
      </c>
      <c r="P175" t="n">
        <v>0</v>
      </c>
      <c r="Q175" t="n">
        <v>0</v>
      </c>
      <c r="R175" t="n">
        <v>0</v>
      </c>
      <c r="S175" t="n">
        <v>0</v>
      </c>
      <c r="T175" t="n">
        <v>0</v>
      </c>
      <c r="U175" s="2" t="inlineStr"/>
    </row>
    <row r="176" ht="15" customHeight="1">
      <c r="A176" t="inlineStr">
        <is>
          <t>A 28104-2025</t>
        </is>
      </c>
      <c r="B176" t="inlineStr">
        <is>
          <t>avverkningsanmälan</t>
        </is>
      </c>
      <c r="C176" t="inlineStr">
        <is>
          <t>Föryngringsavverkning</t>
        </is>
      </c>
      <c r="D176" s="1" t="n">
        <v>45817</v>
      </c>
      <c r="E176" s="1" t="n">
        <v>46218</v>
      </c>
      <c r="F176" t="inlineStr">
        <is>
          <t>SÖDERMANLANDS LÄN</t>
        </is>
      </c>
      <c r="G176" t="inlineStr">
        <is>
          <t>STRÄNGNÄS</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20754-2025</t>
        </is>
      </c>
      <c r="B177" t="inlineStr">
        <is>
          <t>avverkningsanmälan</t>
        </is>
      </c>
      <c r="C177" t="inlineStr">
        <is>
          <t>Föryngringsavverkning</t>
        </is>
      </c>
      <c r="D177" s="1" t="n">
        <v>45776</v>
      </c>
      <c r="E177" s="1" t="n">
        <v>46218</v>
      </c>
      <c r="F177" t="inlineStr">
        <is>
          <t>SÖDERMANLANDS LÄN</t>
        </is>
      </c>
      <c r="G177" t="inlineStr">
        <is>
          <t>STRÄNGNÄS</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1256-2023</t>
        </is>
      </c>
      <c r="B178" t="inlineStr">
        <is>
          <t>avverkningsanmälan</t>
        </is>
      </c>
      <c r="C178" t="inlineStr">
        <is>
          <t>Föryngringsavverkning</t>
        </is>
      </c>
      <c r="D178" s="1" t="n">
        <v>44936</v>
      </c>
      <c r="E178" s="1" t="n">
        <v>46218</v>
      </c>
      <c r="F178" t="inlineStr">
        <is>
          <t>SÖDERMANLANDS LÄN</t>
        </is>
      </c>
      <c r="G178" t="inlineStr">
        <is>
          <t>STRÄNGNÄS</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9034-2023</t>
        </is>
      </c>
      <c r="B179" t="inlineStr">
        <is>
          <t>avverkningsanmälan</t>
        </is>
      </c>
      <c r="C179" t="inlineStr">
        <is>
          <t>Avverkning för annat ändamål</t>
        </is>
      </c>
      <c r="D179" s="1" t="n">
        <v>44979</v>
      </c>
      <c r="E179" s="1" t="n">
        <v>46218</v>
      </c>
      <c r="F179" t="inlineStr">
        <is>
          <t>SÖDERMANLANDS LÄN</t>
        </is>
      </c>
      <c r="G179" t="inlineStr">
        <is>
          <t>STRÄNGNÄS</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10350-2023</t>
        </is>
      </c>
      <c r="B180" t="inlineStr">
        <is>
          <t>avverkningsanmälan</t>
        </is>
      </c>
      <c r="C180" t="inlineStr">
        <is>
          <t>Föryngringsavverkning</t>
        </is>
      </c>
      <c r="D180" s="1" t="n">
        <v>44987</v>
      </c>
      <c r="E180" s="1" t="n">
        <v>46218</v>
      </c>
      <c r="F180" t="inlineStr">
        <is>
          <t>SÖDERMANLANDS LÄN</t>
        </is>
      </c>
      <c r="G180" t="inlineStr">
        <is>
          <t>STRÄNGNÄS</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44479-2023</t>
        </is>
      </c>
      <c r="B181" t="inlineStr">
        <is>
          <t>avverkningsanmälan</t>
        </is>
      </c>
      <c r="C181" t="inlineStr">
        <is>
          <t>Föryngringsavverkning</t>
        </is>
      </c>
      <c r="D181" s="1" t="n">
        <v>45189</v>
      </c>
      <c r="E181" s="1" t="n">
        <v>46218</v>
      </c>
      <c r="F181" t="inlineStr">
        <is>
          <t>SÖDERMANLANDS LÄN</t>
        </is>
      </c>
      <c r="G181" t="inlineStr">
        <is>
          <t>STRÄNGNÄS</t>
        </is>
      </c>
      <c r="I181" t="n">
        <v>4</v>
      </c>
      <c r="J181" t="n">
        <v>0</v>
      </c>
      <c r="K181" t="n">
        <v>0</v>
      </c>
      <c r="L181" t="n">
        <v>0</v>
      </c>
      <c r="M181" t="n">
        <v>0</v>
      </c>
      <c r="N181" t="n">
        <v>0</v>
      </c>
      <c r="O181" t="n">
        <v>0</v>
      </c>
      <c r="P181" t="n">
        <v>0</v>
      </c>
      <c r="Q181" t="n">
        <v>0</v>
      </c>
      <c r="R181" t="n">
        <v>0</v>
      </c>
      <c r="S181" t="n">
        <v>0</v>
      </c>
      <c r="T181" t="n">
        <v>0</v>
      </c>
      <c r="U181" s="2" t="inlineStr"/>
    </row>
    <row r="182" ht="15" customHeight="1">
      <c r="A182" t="inlineStr">
        <is>
          <t>A 57048-2021</t>
        </is>
      </c>
      <c r="B182" t="inlineStr">
        <is>
          <t>avverkningsanmälan</t>
        </is>
      </c>
      <c r="C182" t="inlineStr">
        <is>
          <t>Föryngringsavverkning</t>
        </is>
      </c>
      <c r="D182" s="1" t="n">
        <v>44481</v>
      </c>
      <c r="E182" s="1" t="n">
        <v>46218</v>
      </c>
      <c r="F182" t="inlineStr">
        <is>
          <t>SÖDERMANLANDS LÄN</t>
        </is>
      </c>
      <c r="G182" t="inlineStr">
        <is>
          <t>STRÄNGNÄS</t>
        </is>
      </c>
      <c r="I182" t="n">
        <v>9</v>
      </c>
      <c r="J182" t="n">
        <v>0</v>
      </c>
      <c r="K182" t="n">
        <v>0</v>
      </c>
      <c r="L182" t="n">
        <v>0</v>
      </c>
      <c r="M182" t="n">
        <v>0</v>
      </c>
      <c r="N182" t="n">
        <v>0</v>
      </c>
      <c r="O182" t="n">
        <v>0</v>
      </c>
      <c r="P182" t="n">
        <v>0</v>
      </c>
      <c r="Q182" t="n">
        <v>0</v>
      </c>
      <c r="R182" t="n">
        <v>0</v>
      </c>
      <c r="S182" t="n">
        <v>0</v>
      </c>
      <c r="T182" t="n">
        <v>0</v>
      </c>
      <c r="U182" s="2" t="inlineStr"/>
    </row>
    <row r="183" ht="15" customHeight="1">
      <c r="A183" t="inlineStr">
        <is>
          <t>A 10352-2023</t>
        </is>
      </c>
      <c r="B183" t="inlineStr">
        <is>
          <t>avverkningsanmälan</t>
        </is>
      </c>
      <c r="C183" t="inlineStr">
        <is>
          <t>Föryngringsavverkning</t>
        </is>
      </c>
      <c r="D183" s="1" t="n">
        <v>44987</v>
      </c>
      <c r="E183" s="1" t="n">
        <v>46218</v>
      </c>
      <c r="F183" t="inlineStr">
        <is>
          <t>SÖDERMANLANDS LÄN</t>
        </is>
      </c>
      <c r="G183" t="inlineStr">
        <is>
          <t>STRÄNGNÄS</t>
        </is>
      </c>
      <c r="I183" t="n">
        <v>0.4</v>
      </c>
      <c r="J183" t="n">
        <v>0</v>
      </c>
      <c r="K183" t="n">
        <v>0</v>
      </c>
      <c r="L183" t="n">
        <v>0</v>
      </c>
      <c r="M183" t="n">
        <v>0</v>
      </c>
      <c r="N183" t="n">
        <v>0</v>
      </c>
      <c r="O183" t="n">
        <v>0</v>
      </c>
      <c r="P183" t="n">
        <v>0</v>
      </c>
      <c r="Q183" t="n">
        <v>0</v>
      </c>
      <c r="R183" t="n">
        <v>0</v>
      </c>
      <c r="S183" t="n">
        <v>0</v>
      </c>
      <c r="T183" t="n">
        <v>0</v>
      </c>
      <c r="U183" s="2" t="inlineStr"/>
    </row>
    <row r="184" ht="15" customHeight="1">
      <c r="A184" t="inlineStr">
        <is>
          <t>A 48886-2023</t>
        </is>
      </c>
      <c r="B184" t="inlineStr">
        <is>
          <t>avverkningsanmälan</t>
        </is>
      </c>
      <c r="C184" t="inlineStr">
        <is>
          <t>Föryngringsavverkning</t>
        </is>
      </c>
      <c r="D184" s="1" t="n">
        <v>45209</v>
      </c>
      <c r="E184" s="1" t="n">
        <v>46218</v>
      </c>
      <c r="F184" t="inlineStr">
        <is>
          <t>SÖDERMANLANDS LÄN</t>
        </is>
      </c>
      <c r="G184" t="inlineStr">
        <is>
          <t>STRÄNGNÄS</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12818-2023</t>
        </is>
      </c>
      <c r="B185" t="inlineStr">
        <is>
          <t>avverkningsanmälan</t>
        </is>
      </c>
      <c r="C185" t="inlineStr">
        <is>
          <t>Avverkning för annat ändamål</t>
        </is>
      </c>
      <c r="D185" s="1" t="n">
        <v>45001</v>
      </c>
      <c r="E185" s="1" t="n">
        <v>46218</v>
      </c>
      <c r="F185" t="inlineStr">
        <is>
          <t>SÖDERMANLANDS LÄN</t>
        </is>
      </c>
      <c r="G185" t="inlineStr">
        <is>
          <t>STRÄNGNÄS</t>
        </is>
      </c>
      <c r="I185" t="n">
        <v>3.3</v>
      </c>
      <c r="J185" t="n">
        <v>0</v>
      </c>
      <c r="K185" t="n">
        <v>0</v>
      </c>
      <c r="L185" t="n">
        <v>0</v>
      </c>
      <c r="M185" t="n">
        <v>0</v>
      </c>
      <c r="N185" t="n">
        <v>0</v>
      </c>
      <c r="O185" t="n">
        <v>0</v>
      </c>
      <c r="P185" t="n">
        <v>0</v>
      </c>
      <c r="Q185" t="n">
        <v>0</v>
      </c>
      <c r="R185" t="n">
        <v>0</v>
      </c>
      <c r="S185" t="n">
        <v>0</v>
      </c>
      <c r="T185" t="n">
        <v>0</v>
      </c>
      <c r="U185" s="2" t="inlineStr"/>
    </row>
    <row r="186" ht="15" customHeight="1">
      <c r="A186" t="inlineStr">
        <is>
          <t>A 37429-2021</t>
        </is>
      </c>
      <c r="B186" t="inlineStr">
        <is>
          <t>avverkningsanmälan</t>
        </is>
      </c>
      <c r="C186" t="inlineStr">
        <is>
          <t>Föryngringsavverkning</t>
        </is>
      </c>
      <c r="D186" s="1" t="n">
        <v>44398</v>
      </c>
      <c r="E186" s="1" t="n">
        <v>46218</v>
      </c>
      <c r="F186" t="inlineStr">
        <is>
          <t>SÖDERMANLANDS LÄN</t>
        </is>
      </c>
      <c r="G186" t="inlineStr">
        <is>
          <t>STRÄNGNÄS</t>
        </is>
      </c>
      <c r="H186" t="inlineStr">
        <is>
          <t>Sveaskog</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37431-2021</t>
        </is>
      </c>
      <c r="B187" t="inlineStr">
        <is>
          <t>avverkningsanmälan</t>
        </is>
      </c>
      <c r="C187" t="inlineStr">
        <is>
          <t>Föryngringsavverkning</t>
        </is>
      </c>
      <c r="D187" s="1" t="n">
        <v>44398</v>
      </c>
      <c r="E187" s="1" t="n">
        <v>46218</v>
      </c>
      <c r="F187" t="inlineStr">
        <is>
          <t>SÖDERMANLANDS LÄN</t>
        </is>
      </c>
      <c r="G187" t="inlineStr">
        <is>
          <t>STRÄNGNÄS</t>
        </is>
      </c>
      <c r="H187" t="inlineStr">
        <is>
          <t>Sveaskog</t>
        </is>
      </c>
      <c r="I187" t="n">
        <v>4.8</v>
      </c>
      <c r="J187" t="n">
        <v>0</v>
      </c>
      <c r="K187" t="n">
        <v>0</v>
      </c>
      <c r="L187" t="n">
        <v>0</v>
      </c>
      <c r="M187" t="n">
        <v>0</v>
      </c>
      <c r="N187" t="n">
        <v>0</v>
      </c>
      <c r="O187" t="n">
        <v>0</v>
      </c>
      <c r="P187" t="n">
        <v>0</v>
      </c>
      <c r="Q187" t="n">
        <v>0</v>
      </c>
      <c r="R187" t="n">
        <v>0</v>
      </c>
      <c r="S187" t="n">
        <v>0</v>
      </c>
      <c r="T187" t="n">
        <v>0</v>
      </c>
      <c r="U187" s="2" t="inlineStr"/>
    </row>
    <row r="188" ht="15" customHeight="1">
      <c r="A188" t="inlineStr">
        <is>
          <t>A 3824-2024</t>
        </is>
      </c>
      <c r="B188" t="inlineStr">
        <is>
          <t>avverkningsanmälan</t>
        </is>
      </c>
      <c r="C188" t="inlineStr">
        <is>
          <t>Föryngringsavverkning</t>
        </is>
      </c>
      <c r="D188" s="1" t="n">
        <v>45321</v>
      </c>
      <c r="E188" s="1" t="n">
        <v>46218</v>
      </c>
      <c r="F188" t="inlineStr">
        <is>
          <t>SÖDERMANLANDS LÄN</t>
        </is>
      </c>
      <c r="G188" t="inlineStr">
        <is>
          <t>STRÄNGNÄS</t>
        </is>
      </c>
      <c r="I188" t="n">
        <v>3.2</v>
      </c>
      <c r="J188" t="n">
        <v>0</v>
      </c>
      <c r="K188" t="n">
        <v>0</v>
      </c>
      <c r="L188" t="n">
        <v>0</v>
      </c>
      <c r="M188" t="n">
        <v>0</v>
      </c>
      <c r="N188" t="n">
        <v>0</v>
      </c>
      <c r="O188" t="n">
        <v>0</v>
      </c>
      <c r="P188" t="n">
        <v>0</v>
      </c>
      <c r="Q188" t="n">
        <v>0</v>
      </c>
      <c r="R188" t="n">
        <v>0</v>
      </c>
      <c r="S188" t="n">
        <v>0</v>
      </c>
      <c r="T188" t="n">
        <v>0</v>
      </c>
      <c r="U188" s="2" t="inlineStr"/>
    </row>
    <row r="189" ht="15" customHeight="1">
      <c r="A189" t="inlineStr">
        <is>
          <t>A 52712-2025</t>
        </is>
      </c>
      <c r="B189" t="inlineStr">
        <is>
          <t>avverkningsanmälan</t>
        </is>
      </c>
      <c r="C189" t="inlineStr">
        <is>
          <t>Föryngringsavverkning</t>
        </is>
      </c>
      <c r="D189" s="1" t="n">
        <v>45957</v>
      </c>
      <c r="E189" s="1" t="n">
        <v>46218</v>
      </c>
      <c r="F189" t="inlineStr">
        <is>
          <t>SÖDERMANLANDS LÄN</t>
        </is>
      </c>
      <c r="G189" t="inlineStr">
        <is>
          <t>STRÄNGNÄS</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36811-2022</t>
        </is>
      </c>
      <c r="B190" t="inlineStr">
        <is>
          <t>avverkningsanmälan</t>
        </is>
      </c>
      <c r="C190" t="inlineStr">
        <is>
          <t>Föryngringsavverkning</t>
        </is>
      </c>
      <c r="D190" s="1" t="n">
        <v>44805</v>
      </c>
      <c r="E190" s="1" t="n">
        <v>46218</v>
      </c>
      <c r="F190" t="inlineStr">
        <is>
          <t>SÖDERMANLANDS LÄN</t>
        </is>
      </c>
      <c r="G190" t="inlineStr">
        <is>
          <t>STRÄNGNÄS</t>
        </is>
      </c>
      <c r="I190" t="n">
        <v>11.6</v>
      </c>
      <c r="J190" t="n">
        <v>0</v>
      </c>
      <c r="K190" t="n">
        <v>0</v>
      </c>
      <c r="L190" t="n">
        <v>0</v>
      </c>
      <c r="M190" t="n">
        <v>0</v>
      </c>
      <c r="N190" t="n">
        <v>0</v>
      </c>
      <c r="O190" t="n">
        <v>0</v>
      </c>
      <c r="P190" t="n">
        <v>0</v>
      </c>
      <c r="Q190" t="n">
        <v>0</v>
      </c>
      <c r="R190" t="n">
        <v>0</v>
      </c>
      <c r="S190" t="n">
        <v>0</v>
      </c>
      <c r="T190" t="n">
        <v>0</v>
      </c>
      <c r="U190" s="2" t="inlineStr"/>
    </row>
    <row r="191" ht="15" customHeight="1">
      <c r="A191" t="inlineStr">
        <is>
          <t>A 65161-2023</t>
        </is>
      </c>
      <c r="B191" t="inlineStr">
        <is>
          <t>avverkningsanmälan</t>
        </is>
      </c>
      <c r="C191" t="inlineStr">
        <is>
          <t>Föryngringsavverkning</t>
        </is>
      </c>
      <c r="D191" s="1" t="n">
        <v>45288</v>
      </c>
      <c r="E191" s="1" t="n">
        <v>46218</v>
      </c>
      <c r="F191" t="inlineStr">
        <is>
          <t>SÖDERMANLANDS LÄN</t>
        </is>
      </c>
      <c r="G191" t="inlineStr">
        <is>
          <t>STRÄNGNÄS</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51763-2022</t>
        </is>
      </c>
      <c r="B192" t="inlineStr">
        <is>
          <t>avverkningsanmälan</t>
        </is>
      </c>
      <c r="C192" t="inlineStr">
        <is>
          <t>Föryngringsavverkning</t>
        </is>
      </c>
      <c r="D192" s="1" t="n">
        <v>44872</v>
      </c>
      <c r="E192" s="1" t="n">
        <v>46218</v>
      </c>
      <c r="F192" t="inlineStr">
        <is>
          <t>SÖDERMANLANDS LÄN</t>
        </is>
      </c>
      <c r="G192" t="inlineStr">
        <is>
          <t>STRÄNGNÄS</t>
        </is>
      </c>
      <c r="I192" t="n">
        <v>2.8</v>
      </c>
      <c r="J192" t="n">
        <v>0</v>
      </c>
      <c r="K192" t="n">
        <v>0</v>
      </c>
      <c r="L192" t="n">
        <v>0</v>
      </c>
      <c r="M192" t="n">
        <v>0</v>
      </c>
      <c r="N192" t="n">
        <v>0</v>
      </c>
      <c r="O192" t="n">
        <v>0</v>
      </c>
      <c r="P192" t="n">
        <v>0</v>
      </c>
      <c r="Q192" t="n">
        <v>0</v>
      </c>
      <c r="R192" t="n">
        <v>0</v>
      </c>
      <c r="S192" t="n">
        <v>0</v>
      </c>
      <c r="T192" t="n">
        <v>0</v>
      </c>
      <c r="U192" s="2" t="inlineStr"/>
    </row>
    <row r="193" ht="15" customHeight="1">
      <c r="A193" t="inlineStr">
        <is>
          <t>A 22530-2023</t>
        </is>
      </c>
      <c r="B193" t="inlineStr">
        <is>
          <t>avverkningsanmälan</t>
        </is>
      </c>
      <c r="C193" t="inlineStr">
        <is>
          <t>Föryngringsavverkning</t>
        </is>
      </c>
      <c r="D193" s="1" t="n">
        <v>45071</v>
      </c>
      <c r="E193" s="1" t="n">
        <v>46218</v>
      </c>
      <c r="F193" t="inlineStr">
        <is>
          <t>SÖDERMANLANDS LÄN</t>
        </is>
      </c>
      <c r="G193" t="inlineStr">
        <is>
          <t>STRÄNGNÄS</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52773-2023</t>
        </is>
      </c>
      <c r="B194" t="inlineStr">
        <is>
          <t>avverkningsanmälan</t>
        </is>
      </c>
      <c r="C194" t="inlineStr">
        <is>
          <t>Föryngringsavverkning</t>
        </is>
      </c>
      <c r="D194" s="1" t="n">
        <v>45219</v>
      </c>
      <c r="E194" s="1" t="n">
        <v>46218</v>
      </c>
      <c r="F194" t="inlineStr">
        <is>
          <t>SÖDERMANLANDS LÄN</t>
        </is>
      </c>
      <c r="G194" t="inlineStr">
        <is>
          <t>STRÄNGNÄS</t>
        </is>
      </c>
      <c r="I194" t="n">
        <v>1.8</v>
      </c>
      <c r="J194" t="n">
        <v>0</v>
      </c>
      <c r="K194" t="n">
        <v>0</v>
      </c>
      <c r="L194" t="n">
        <v>0</v>
      </c>
      <c r="M194" t="n">
        <v>0</v>
      </c>
      <c r="N194" t="n">
        <v>0</v>
      </c>
      <c r="O194" t="n">
        <v>0</v>
      </c>
      <c r="P194" t="n">
        <v>0</v>
      </c>
      <c r="Q194" t="n">
        <v>0</v>
      </c>
      <c r="R194" t="n">
        <v>0</v>
      </c>
      <c r="S194" t="n">
        <v>0</v>
      </c>
      <c r="T194" t="n">
        <v>0</v>
      </c>
      <c r="U194" s="2" t="inlineStr"/>
    </row>
    <row r="195" ht="15" customHeight="1">
      <c r="A195" t="inlineStr">
        <is>
          <t>A 52840-2023</t>
        </is>
      </c>
      <c r="B195" t="inlineStr">
        <is>
          <t>avverkningsanmälan</t>
        </is>
      </c>
      <c r="C195" t="inlineStr">
        <is>
          <t>Föryngringsavverkning</t>
        </is>
      </c>
      <c r="D195" s="1" t="n">
        <v>45226</v>
      </c>
      <c r="E195" s="1" t="n">
        <v>46218</v>
      </c>
      <c r="F195" t="inlineStr">
        <is>
          <t>SÖDERMANLANDS LÄN</t>
        </is>
      </c>
      <c r="G195" t="inlineStr">
        <is>
          <t>STRÄNGNÄS</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17066-2022</t>
        </is>
      </c>
      <c r="B196" t="inlineStr">
        <is>
          <t>avverkningsanmälan</t>
        </is>
      </c>
      <c r="C196" t="inlineStr">
        <is>
          <t>Föryngringsavverkning</t>
        </is>
      </c>
      <c r="D196" s="1" t="n">
        <v>44676</v>
      </c>
      <c r="E196" s="1" t="n">
        <v>46218</v>
      </c>
      <c r="F196" t="inlineStr">
        <is>
          <t>SÖDERMANLANDS LÄN</t>
        </is>
      </c>
      <c r="G196" t="inlineStr">
        <is>
          <t>STRÄNGNÄS</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48823-2023</t>
        </is>
      </c>
      <c r="B197" t="inlineStr">
        <is>
          <t>avverkningsanmälan</t>
        </is>
      </c>
      <c r="C197" t="inlineStr">
        <is>
          <t>Avverkning för att bevara och utveckla /försöksver</t>
        </is>
      </c>
      <c r="D197" s="1" t="n">
        <v>45209</v>
      </c>
      <c r="E197" s="1" t="n">
        <v>46218</v>
      </c>
      <c r="F197" t="inlineStr">
        <is>
          <t>SÖDERMANLANDS LÄN</t>
        </is>
      </c>
      <c r="G197" t="inlineStr">
        <is>
          <t>STRÄNGNÄS</t>
        </is>
      </c>
      <c r="H197" t="inlineStr">
        <is>
          <t>Sveaskog</t>
        </is>
      </c>
      <c r="I197" t="n">
        <v>2.5</v>
      </c>
      <c r="J197" t="n">
        <v>0</v>
      </c>
      <c r="K197" t="n">
        <v>0</v>
      </c>
      <c r="L197" t="n">
        <v>0</v>
      </c>
      <c r="M197" t="n">
        <v>0</v>
      </c>
      <c r="N197" t="n">
        <v>0</v>
      </c>
      <c r="O197" t="n">
        <v>0</v>
      </c>
      <c r="P197" t="n">
        <v>0</v>
      </c>
      <c r="Q197" t="n">
        <v>0</v>
      </c>
      <c r="R197" t="n">
        <v>0</v>
      </c>
      <c r="S197" t="n">
        <v>0</v>
      </c>
      <c r="T197" t="n">
        <v>0</v>
      </c>
      <c r="U197" s="2" t="inlineStr"/>
    </row>
    <row r="198" ht="15" customHeight="1">
      <c r="A198" t="inlineStr">
        <is>
          <t>A 34401-2024</t>
        </is>
      </c>
      <c r="B198" t="inlineStr">
        <is>
          <t>avverkningsanmälan</t>
        </is>
      </c>
      <c r="C198" t="inlineStr">
        <is>
          <t>Föryngringsavverkning</t>
        </is>
      </c>
      <c r="D198" s="1" t="n">
        <v>45525</v>
      </c>
      <c r="E198" s="1" t="n">
        <v>46218</v>
      </c>
      <c r="F198" t="inlineStr">
        <is>
          <t>SÖDERMANLANDS LÄN</t>
        </is>
      </c>
      <c r="G198" t="inlineStr">
        <is>
          <t>STRÄNGNÄS</t>
        </is>
      </c>
      <c r="I198" t="n">
        <v>0.4</v>
      </c>
      <c r="J198" t="n">
        <v>0</v>
      </c>
      <c r="K198" t="n">
        <v>0</v>
      </c>
      <c r="L198" t="n">
        <v>0</v>
      </c>
      <c r="M198" t="n">
        <v>0</v>
      </c>
      <c r="N198" t="n">
        <v>0</v>
      </c>
      <c r="O198" t="n">
        <v>0</v>
      </c>
      <c r="P198" t="n">
        <v>0</v>
      </c>
      <c r="Q198" t="n">
        <v>0</v>
      </c>
      <c r="R198" t="n">
        <v>0</v>
      </c>
      <c r="S198" t="n">
        <v>0</v>
      </c>
      <c r="T198" t="n">
        <v>0</v>
      </c>
      <c r="U198" s="2" t="inlineStr"/>
    </row>
    <row r="199" ht="15" customHeight="1">
      <c r="A199" t="inlineStr">
        <is>
          <t>A 888-2023</t>
        </is>
      </c>
      <c r="B199" t="inlineStr">
        <is>
          <t>avverkningsanmälan</t>
        </is>
      </c>
      <c r="C199" t="inlineStr">
        <is>
          <t>Föryngringsavverkning</t>
        </is>
      </c>
      <c r="D199" s="1" t="n">
        <v>44931</v>
      </c>
      <c r="E199" s="1" t="n">
        <v>46218</v>
      </c>
      <c r="F199" t="inlineStr">
        <is>
          <t>SÖDERMANLANDS LÄN</t>
        </is>
      </c>
      <c r="G199" t="inlineStr">
        <is>
          <t>STRÄNGNÄS</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57231-2024</t>
        </is>
      </c>
      <c r="B200" t="inlineStr">
        <is>
          <t>avverkningsanmälan</t>
        </is>
      </c>
      <c r="C200" t="inlineStr">
        <is>
          <t>Föryngringsavverkning</t>
        </is>
      </c>
      <c r="D200" s="1" t="n">
        <v>45629</v>
      </c>
      <c r="E200" s="1" t="n">
        <v>46218</v>
      </c>
      <c r="F200" t="inlineStr">
        <is>
          <t>SÖDERMANLANDS LÄN</t>
        </is>
      </c>
      <c r="G200" t="inlineStr">
        <is>
          <t>STRÄNGNÄS</t>
        </is>
      </c>
      <c r="I200" t="n">
        <v>3.8</v>
      </c>
      <c r="J200" t="n">
        <v>0</v>
      </c>
      <c r="K200" t="n">
        <v>0</v>
      </c>
      <c r="L200" t="n">
        <v>0</v>
      </c>
      <c r="M200" t="n">
        <v>0</v>
      </c>
      <c r="N200" t="n">
        <v>0</v>
      </c>
      <c r="O200" t="n">
        <v>0</v>
      </c>
      <c r="P200" t="n">
        <v>0</v>
      </c>
      <c r="Q200" t="n">
        <v>0</v>
      </c>
      <c r="R200" t="n">
        <v>0</v>
      </c>
      <c r="S200" t="n">
        <v>0</v>
      </c>
      <c r="T200" t="n">
        <v>0</v>
      </c>
      <c r="U200" s="2" t="inlineStr"/>
    </row>
    <row r="201" ht="15" customHeight="1">
      <c r="A201" t="inlineStr">
        <is>
          <t>A 5805-2022</t>
        </is>
      </c>
      <c r="B201" t="inlineStr">
        <is>
          <t>avverkningsanmälan</t>
        </is>
      </c>
      <c r="C201" t="inlineStr">
        <is>
          <t>Föryngringsavverkning</t>
        </is>
      </c>
      <c r="D201" s="1" t="n">
        <v>44596</v>
      </c>
      <c r="E201" s="1" t="n">
        <v>46218</v>
      </c>
      <c r="F201" t="inlineStr">
        <is>
          <t>SÖDERMANLANDS LÄN</t>
        </is>
      </c>
      <c r="G201" t="inlineStr">
        <is>
          <t>STRÄNGNÄS</t>
        </is>
      </c>
      <c r="I201" t="n">
        <v>2.2</v>
      </c>
      <c r="J201" t="n">
        <v>0</v>
      </c>
      <c r="K201" t="n">
        <v>0</v>
      </c>
      <c r="L201" t="n">
        <v>0</v>
      </c>
      <c r="M201" t="n">
        <v>0</v>
      </c>
      <c r="N201" t="n">
        <v>0</v>
      </c>
      <c r="O201" t="n">
        <v>0</v>
      </c>
      <c r="P201" t="n">
        <v>0</v>
      </c>
      <c r="Q201" t="n">
        <v>0</v>
      </c>
      <c r="R201" t="n">
        <v>0</v>
      </c>
      <c r="S201" t="n">
        <v>0</v>
      </c>
      <c r="T201" t="n">
        <v>0</v>
      </c>
      <c r="U201" s="2" t="inlineStr"/>
    </row>
    <row r="202" ht="15" customHeight="1">
      <c r="A202" t="inlineStr">
        <is>
          <t>A 20938-2023</t>
        </is>
      </c>
      <c r="B202" t="inlineStr">
        <is>
          <t>avverkningsanmälan</t>
        </is>
      </c>
      <c r="C202" t="inlineStr">
        <is>
          <t>Föryngringsavverkning</t>
        </is>
      </c>
      <c r="D202" s="1" t="n">
        <v>45061</v>
      </c>
      <c r="E202" s="1" t="n">
        <v>46218</v>
      </c>
      <c r="F202" t="inlineStr">
        <is>
          <t>SÖDERMANLANDS LÄN</t>
        </is>
      </c>
      <c r="G202" t="inlineStr">
        <is>
          <t>STRÄNGNÄS</t>
        </is>
      </c>
      <c r="I202" t="n">
        <v>3.8</v>
      </c>
      <c r="J202" t="n">
        <v>0</v>
      </c>
      <c r="K202" t="n">
        <v>0</v>
      </c>
      <c r="L202" t="n">
        <v>0</v>
      </c>
      <c r="M202" t="n">
        <v>0</v>
      </c>
      <c r="N202" t="n">
        <v>0</v>
      </c>
      <c r="O202" t="n">
        <v>0</v>
      </c>
      <c r="P202" t="n">
        <v>0</v>
      </c>
      <c r="Q202" t="n">
        <v>0</v>
      </c>
      <c r="R202" t="n">
        <v>0</v>
      </c>
      <c r="S202" t="n">
        <v>0</v>
      </c>
      <c r="T202" t="n">
        <v>0</v>
      </c>
      <c r="U202" s="2" t="inlineStr"/>
    </row>
    <row r="203" ht="15" customHeight="1">
      <c r="A203" t="inlineStr">
        <is>
          <t>A 66296-2021</t>
        </is>
      </c>
      <c r="B203" t="inlineStr">
        <is>
          <t>avverkningsanmälan</t>
        </is>
      </c>
      <c r="C203" t="inlineStr">
        <is>
          <t>Föryngringsavverkning</t>
        </is>
      </c>
      <c r="D203" s="1" t="n">
        <v>44518</v>
      </c>
      <c r="E203" s="1" t="n">
        <v>46218</v>
      </c>
      <c r="F203" t="inlineStr">
        <is>
          <t>SÖDERMANLANDS LÄN</t>
        </is>
      </c>
      <c r="G203" t="inlineStr">
        <is>
          <t>STRÄNGNÄS</t>
        </is>
      </c>
      <c r="H203" t="inlineStr">
        <is>
          <t>Övriga statliga verk och myndigheter</t>
        </is>
      </c>
      <c r="I203" t="n">
        <v>3.8</v>
      </c>
      <c r="J203" t="n">
        <v>0</v>
      </c>
      <c r="K203" t="n">
        <v>0</v>
      </c>
      <c r="L203" t="n">
        <v>0</v>
      </c>
      <c r="M203" t="n">
        <v>0</v>
      </c>
      <c r="N203" t="n">
        <v>0</v>
      </c>
      <c r="O203" t="n">
        <v>0</v>
      </c>
      <c r="P203" t="n">
        <v>0</v>
      </c>
      <c r="Q203" t="n">
        <v>0</v>
      </c>
      <c r="R203" t="n">
        <v>0</v>
      </c>
      <c r="S203" t="n">
        <v>0</v>
      </c>
      <c r="T203" t="n">
        <v>0</v>
      </c>
      <c r="U203" s="2" t="inlineStr"/>
    </row>
    <row r="204" ht="15" customHeight="1">
      <c r="A204" t="inlineStr">
        <is>
          <t>A 41241-2022</t>
        </is>
      </c>
      <c r="B204" t="inlineStr">
        <is>
          <t>avverkningsanmälan</t>
        </is>
      </c>
      <c r="C204" t="inlineStr">
        <is>
          <t>Föryngringsavverkning</t>
        </is>
      </c>
      <c r="D204" s="1" t="n">
        <v>44826</v>
      </c>
      <c r="E204" s="1" t="n">
        <v>46218</v>
      </c>
      <c r="F204" t="inlineStr">
        <is>
          <t>SÖDERMANLANDS LÄN</t>
        </is>
      </c>
      <c r="G204" t="inlineStr">
        <is>
          <t>STRÄNGNÄS</t>
        </is>
      </c>
      <c r="I204" t="n">
        <v>9.199999999999999</v>
      </c>
      <c r="J204" t="n">
        <v>0</v>
      </c>
      <c r="K204" t="n">
        <v>0</v>
      </c>
      <c r="L204" t="n">
        <v>0</v>
      </c>
      <c r="M204" t="n">
        <v>0</v>
      </c>
      <c r="N204" t="n">
        <v>0</v>
      </c>
      <c r="O204" t="n">
        <v>0</v>
      </c>
      <c r="P204" t="n">
        <v>0</v>
      </c>
      <c r="Q204" t="n">
        <v>0</v>
      </c>
      <c r="R204" t="n">
        <v>0</v>
      </c>
      <c r="S204" t="n">
        <v>0</v>
      </c>
      <c r="T204" t="n">
        <v>0</v>
      </c>
      <c r="U204" s="2" t="inlineStr"/>
    </row>
    <row r="205" ht="15" customHeight="1">
      <c r="A205" t="inlineStr">
        <is>
          <t>A 67925-2021</t>
        </is>
      </c>
      <c r="B205" t="inlineStr">
        <is>
          <t>avverkningsanmälan</t>
        </is>
      </c>
      <c r="C205" t="inlineStr">
        <is>
          <t>Föryngringsavverkning</t>
        </is>
      </c>
      <c r="D205" s="1" t="n">
        <v>44525</v>
      </c>
      <c r="E205" s="1" t="n">
        <v>46218</v>
      </c>
      <c r="F205" t="inlineStr">
        <is>
          <t>SÖDERMANLANDS LÄN</t>
        </is>
      </c>
      <c r="G205" t="inlineStr">
        <is>
          <t>STRÄNGNÄS</t>
        </is>
      </c>
      <c r="I205" t="n">
        <v>3.2</v>
      </c>
      <c r="J205" t="n">
        <v>0</v>
      </c>
      <c r="K205" t="n">
        <v>0</v>
      </c>
      <c r="L205" t="n">
        <v>0</v>
      </c>
      <c r="M205" t="n">
        <v>0</v>
      </c>
      <c r="N205" t="n">
        <v>0</v>
      </c>
      <c r="O205" t="n">
        <v>0</v>
      </c>
      <c r="P205" t="n">
        <v>0</v>
      </c>
      <c r="Q205" t="n">
        <v>0</v>
      </c>
      <c r="R205" t="n">
        <v>0</v>
      </c>
      <c r="S205" t="n">
        <v>0</v>
      </c>
      <c r="T205" t="n">
        <v>0</v>
      </c>
      <c r="U205" s="2" t="inlineStr"/>
    </row>
    <row r="206" ht="15" customHeight="1">
      <c r="A206" t="inlineStr">
        <is>
          <t>A 24823-2025</t>
        </is>
      </c>
      <c r="B206" t="inlineStr">
        <is>
          <t>avverkningsanmälan</t>
        </is>
      </c>
      <c r="C206" t="inlineStr">
        <is>
          <t>Föryngringsavverkning</t>
        </is>
      </c>
      <c r="D206" s="1" t="n">
        <v>45799</v>
      </c>
      <c r="E206" s="1" t="n">
        <v>46218</v>
      </c>
      <c r="F206" t="inlineStr">
        <is>
          <t>SÖDERMANLANDS LÄN</t>
        </is>
      </c>
      <c r="G206" t="inlineStr">
        <is>
          <t>STRÄNGNÄS</t>
        </is>
      </c>
      <c r="I206" t="n">
        <v>7</v>
      </c>
      <c r="J206" t="n">
        <v>0</v>
      </c>
      <c r="K206" t="n">
        <v>0</v>
      </c>
      <c r="L206" t="n">
        <v>0</v>
      </c>
      <c r="M206" t="n">
        <v>0</v>
      </c>
      <c r="N206" t="n">
        <v>0</v>
      </c>
      <c r="O206" t="n">
        <v>0</v>
      </c>
      <c r="P206" t="n">
        <v>0</v>
      </c>
      <c r="Q206" t="n">
        <v>0</v>
      </c>
      <c r="R206" t="n">
        <v>0</v>
      </c>
      <c r="S206" t="n">
        <v>0</v>
      </c>
      <c r="T206" t="n">
        <v>0</v>
      </c>
      <c r="U206" s="2" t="inlineStr"/>
    </row>
    <row r="207" ht="15" customHeight="1">
      <c r="A207" t="inlineStr">
        <is>
          <t>A 60764-2021</t>
        </is>
      </c>
      <c r="B207" t="inlineStr">
        <is>
          <t>avverkningsanmälan</t>
        </is>
      </c>
      <c r="C207" t="inlineStr">
        <is>
          <t>Föryngringsavverkning</t>
        </is>
      </c>
      <c r="D207" s="1" t="n">
        <v>44496</v>
      </c>
      <c r="E207" s="1" t="n">
        <v>46218</v>
      </c>
      <c r="F207" t="inlineStr">
        <is>
          <t>SÖDERMANLANDS LÄN</t>
        </is>
      </c>
      <c r="G207" t="inlineStr">
        <is>
          <t>STRÄNGNÄS</t>
        </is>
      </c>
      <c r="I207" t="n">
        <v>4.1</v>
      </c>
      <c r="J207" t="n">
        <v>0</v>
      </c>
      <c r="K207" t="n">
        <v>0</v>
      </c>
      <c r="L207" t="n">
        <v>0</v>
      </c>
      <c r="M207" t="n">
        <v>0</v>
      </c>
      <c r="N207" t="n">
        <v>0</v>
      </c>
      <c r="O207" t="n">
        <v>0</v>
      </c>
      <c r="P207" t="n">
        <v>0</v>
      </c>
      <c r="Q207" t="n">
        <v>0</v>
      </c>
      <c r="R207" t="n">
        <v>0</v>
      </c>
      <c r="S207" t="n">
        <v>0</v>
      </c>
      <c r="T207" t="n">
        <v>0</v>
      </c>
      <c r="U207" s="2" t="inlineStr"/>
    </row>
    <row r="208" ht="15" customHeight="1">
      <c r="A208" t="inlineStr">
        <is>
          <t>A 3185-2022</t>
        </is>
      </c>
      <c r="B208" t="inlineStr">
        <is>
          <t>avverkningsanmälan</t>
        </is>
      </c>
      <c r="C208" t="inlineStr">
        <is>
          <t>Föryngringsavverkning</t>
        </is>
      </c>
      <c r="D208" s="1" t="n">
        <v>44582</v>
      </c>
      <c r="E208" s="1" t="n">
        <v>46218</v>
      </c>
      <c r="F208" t="inlineStr">
        <is>
          <t>SÖDERMANLANDS LÄN</t>
        </is>
      </c>
      <c r="G208" t="inlineStr">
        <is>
          <t>STRÄNGNÄS</t>
        </is>
      </c>
      <c r="I208" t="n">
        <v>6.1</v>
      </c>
      <c r="J208" t="n">
        <v>0</v>
      </c>
      <c r="K208" t="n">
        <v>0</v>
      </c>
      <c r="L208" t="n">
        <v>0</v>
      </c>
      <c r="M208" t="n">
        <v>0</v>
      </c>
      <c r="N208" t="n">
        <v>0</v>
      </c>
      <c r="O208" t="n">
        <v>0</v>
      </c>
      <c r="P208" t="n">
        <v>0</v>
      </c>
      <c r="Q208" t="n">
        <v>0</v>
      </c>
      <c r="R208" t="n">
        <v>0</v>
      </c>
      <c r="S208" t="n">
        <v>0</v>
      </c>
      <c r="T208" t="n">
        <v>0</v>
      </c>
      <c r="U208" s="2" t="inlineStr"/>
    </row>
    <row r="209" ht="15" customHeight="1">
      <c r="A209" t="inlineStr">
        <is>
          <t>A 1251-2023</t>
        </is>
      </c>
      <c r="B209" t="inlineStr">
        <is>
          <t>avverkningsanmälan</t>
        </is>
      </c>
      <c r="C209" t="inlineStr">
        <is>
          <t>Föryngringsavverkning</t>
        </is>
      </c>
      <c r="D209" s="1" t="n">
        <v>44936</v>
      </c>
      <c r="E209" s="1" t="n">
        <v>46218</v>
      </c>
      <c r="F209" t="inlineStr">
        <is>
          <t>SÖDERMANLANDS LÄN</t>
        </is>
      </c>
      <c r="G209" t="inlineStr">
        <is>
          <t>STRÄNGNÄS</t>
        </is>
      </c>
      <c r="I209" t="n">
        <v>6.1</v>
      </c>
      <c r="J209" t="n">
        <v>0</v>
      </c>
      <c r="K209" t="n">
        <v>0</v>
      </c>
      <c r="L209" t="n">
        <v>0</v>
      </c>
      <c r="M209" t="n">
        <v>0</v>
      </c>
      <c r="N209" t="n">
        <v>0</v>
      </c>
      <c r="O209" t="n">
        <v>0</v>
      </c>
      <c r="P209" t="n">
        <v>0</v>
      </c>
      <c r="Q209" t="n">
        <v>0</v>
      </c>
      <c r="R209" t="n">
        <v>0</v>
      </c>
      <c r="S209" t="n">
        <v>0</v>
      </c>
      <c r="T209" t="n">
        <v>0</v>
      </c>
      <c r="U209" s="2" t="inlineStr"/>
    </row>
    <row r="210" ht="15" customHeight="1">
      <c r="A210" t="inlineStr">
        <is>
          <t>A 3037-2022</t>
        </is>
      </c>
      <c r="B210" t="inlineStr">
        <is>
          <t>avverkningsanmälan</t>
        </is>
      </c>
      <c r="C210" t="inlineStr">
        <is>
          <t>Föryngringsavverkning</t>
        </is>
      </c>
      <c r="D210" s="1" t="n">
        <v>44581</v>
      </c>
      <c r="E210" s="1" t="n">
        <v>46218</v>
      </c>
      <c r="F210" t="inlineStr">
        <is>
          <t>SÖDERMANLANDS LÄN</t>
        </is>
      </c>
      <c r="G210" t="inlineStr">
        <is>
          <t>STRÄNGNÄS</t>
        </is>
      </c>
      <c r="I210" t="n">
        <v>1.5</v>
      </c>
      <c r="J210" t="n">
        <v>0</v>
      </c>
      <c r="K210" t="n">
        <v>0</v>
      </c>
      <c r="L210" t="n">
        <v>0</v>
      </c>
      <c r="M210" t="n">
        <v>0</v>
      </c>
      <c r="N210" t="n">
        <v>0</v>
      </c>
      <c r="O210" t="n">
        <v>0</v>
      </c>
      <c r="P210" t="n">
        <v>0</v>
      </c>
      <c r="Q210" t="n">
        <v>0</v>
      </c>
      <c r="R210" t="n">
        <v>0</v>
      </c>
      <c r="S210" t="n">
        <v>0</v>
      </c>
      <c r="T210" t="n">
        <v>0</v>
      </c>
      <c r="U210" s="2" t="inlineStr"/>
    </row>
    <row r="211" ht="15" customHeight="1">
      <c r="A211" t="inlineStr">
        <is>
          <t>A 243-2023</t>
        </is>
      </c>
      <c r="B211" t="inlineStr">
        <is>
          <t>avverkningsanmälan</t>
        </is>
      </c>
      <c r="C211" t="inlineStr">
        <is>
          <t>Föryngringsavverkning</t>
        </is>
      </c>
      <c r="D211" s="1" t="n">
        <v>44928</v>
      </c>
      <c r="E211" s="1" t="n">
        <v>46218</v>
      </c>
      <c r="F211" t="inlineStr">
        <is>
          <t>SÖDERMANLANDS LÄN</t>
        </is>
      </c>
      <c r="G211" t="inlineStr">
        <is>
          <t>STRÄNGNÄS</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23225-2023</t>
        </is>
      </c>
      <c r="B212" t="inlineStr">
        <is>
          <t>avverkningsanmälan</t>
        </is>
      </c>
      <c r="C212" t="inlineStr">
        <is>
          <t>Föryngringsavverkning</t>
        </is>
      </c>
      <c r="D212" s="1" t="n">
        <v>45075</v>
      </c>
      <c r="E212" s="1" t="n">
        <v>46218</v>
      </c>
      <c r="F212" t="inlineStr">
        <is>
          <t>SÖDERMANLANDS LÄN</t>
        </is>
      </c>
      <c r="G212" t="inlineStr">
        <is>
          <t>STRÄNGNÄS</t>
        </is>
      </c>
      <c r="I212" t="n">
        <v>7.1</v>
      </c>
      <c r="J212" t="n">
        <v>0</v>
      </c>
      <c r="K212" t="n">
        <v>0</v>
      </c>
      <c r="L212" t="n">
        <v>0</v>
      </c>
      <c r="M212" t="n">
        <v>0</v>
      </c>
      <c r="N212" t="n">
        <v>0</v>
      </c>
      <c r="O212" t="n">
        <v>0</v>
      </c>
      <c r="P212" t="n">
        <v>0</v>
      </c>
      <c r="Q212" t="n">
        <v>0</v>
      </c>
      <c r="R212" t="n">
        <v>0</v>
      </c>
      <c r="S212" t="n">
        <v>0</v>
      </c>
      <c r="T212" t="n">
        <v>0</v>
      </c>
      <c r="U212" s="2" t="inlineStr"/>
    </row>
    <row r="213" ht="15" customHeight="1">
      <c r="A213" t="inlineStr">
        <is>
          <t>A 52452-2024</t>
        </is>
      </c>
      <c r="B213" t="inlineStr">
        <is>
          <t>avverkningsanmälan</t>
        </is>
      </c>
      <c r="C213" t="inlineStr">
        <is>
          <t>Avverkning för annat ändamål</t>
        </is>
      </c>
      <c r="D213" s="1" t="n">
        <v>45609</v>
      </c>
      <c r="E213" s="1" t="n">
        <v>46218</v>
      </c>
      <c r="F213" t="inlineStr">
        <is>
          <t>SÖDERMANLANDS LÄN</t>
        </is>
      </c>
      <c r="G213" t="inlineStr">
        <is>
          <t>STRÄNGNÄS</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20181-2024</t>
        </is>
      </c>
      <c r="B214" t="inlineStr">
        <is>
          <t>avverkningsanmälan</t>
        </is>
      </c>
      <c r="C214" t="inlineStr">
        <is>
          <t>Avverkning för annat ändamål</t>
        </is>
      </c>
      <c r="D214" s="1" t="n">
        <v>45434</v>
      </c>
      <c r="E214" s="1" t="n">
        <v>46218</v>
      </c>
      <c r="F214" t="inlineStr">
        <is>
          <t>SÖDERMANLANDS LÄN</t>
        </is>
      </c>
      <c r="G214" t="inlineStr">
        <is>
          <t>STRÄNGNÄS</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52904-2023</t>
        </is>
      </c>
      <c r="B215" t="inlineStr">
        <is>
          <t>avverkningsanmälan</t>
        </is>
      </c>
      <c r="C215" t="inlineStr">
        <is>
          <t>Föryngringsavverkning</t>
        </is>
      </c>
      <c r="D215" s="1" t="n">
        <v>45226</v>
      </c>
      <c r="E215" s="1" t="n">
        <v>46218</v>
      </c>
      <c r="F215" t="inlineStr">
        <is>
          <t>SÖDERMANLANDS LÄN</t>
        </is>
      </c>
      <c r="G215" t="inlineStr">
        <is>
          <t>STRÄNGNÄS</t>
        </is>
      </c>
      <c r="I215" t="n">
        <v>9.9</v>
      </c>
      <c r="J215" t="n">
        <v>0</v>
      </c>
      <c r="K215" t="n">
        <v>0</v>
      </c>
      <c r="L215" t="n">
        <v>0</v>
      </c>
      <c r="M215" t="n">
        <v>0</v>
      </c>
      <c r="N215" t="n">
        <v>0</v>
      </c>
      <c r="O215" t="n">
        <v>0</v>
      </c>
      <c r="P215" t="n">
        <v>0</v>
      </c>
      <c r="Q215" t="n">
        <v>0</v>
      </c>
      <c r="R215" t="n">
        <v>0</v>
      </c>
      <c r="S215" t="n">
        <v>0</v>
      </c>
      <c r="T215" t="n">
        <v>0</v>
      </c>
      <c r="U215" s="2" t="inlineStr"/>
    </row>
    <row r="216" ht="15" customHeight="1">
      <c r="A216" t="inlineStr">
        <is>
          <t>A 12792-2024</t>
        </is>
      </c>
      <c r="B216" t="inlineStr">
        <is>
          <t>avverkningsanmälan</t>
        </is>
      </c>
      <c r="C216" t="inlineStr">
        <is>
          <t>Föryngringsavverkning</t>
        </is>
      </c>
      <c r="D216" s="1" t="n">
        <v>45384</v>
      </c>
      <c r="E216" s="1" t="n">
        <v>46218</v>
      </c>
      <c r="F216" t="inlineStr">
        <is>
          <t>SÖDERMANLANDS LÄN</t>
        </is>
      </c>
      <c r="G216" t="inlineStr">
        <is>
          <t>STRÄNGNÄS</t>
        </is>
      </c>
      <c r="I216" t="n">
        <v>19.1</v>
      </c>
      <c r="J216" t="n">
        <v>0</v>
      </c>
      <c r="K216" t="n">
        <v>0</v>
      </c>
      <c r="L216" t="n">
        <v>0</v>
      </c>
      <c r="M216" t="n">
        <v>0</v>
      </c>
      <c r="N216" t="n">
        <v>0</v>
      </c>
      <c r="O216" t="n">
        <v>0</v>
      </c>
      <c r="P216" t="n">
        <v>0</v>
      </c>
      <c r="Q216" t="n">
        <v>0</v>
      </c>
      <c r="R216" t="n">
        <v>0</v>
      </c>
      <c r="S216" t="n">
        <v>0</v>
      </c>
      <c r="T216" t="n">
        <v>0</v>
      </c>
      <c r="U216" s="2" t="inlineStr"/>
    </row>
    <row r="217" ht="15" customHeight="1">
      <c r="A217" t="inlineStr">
        <is>
          <t>A 59304-2023</t>
        </is>
      </c>
      <c r="B217" t="inlineStr">
        <is>
          <t>avverkningsanmälan</t>
        </is>
      </c>
      <c r="C217" t="inlineStr">
        <is>
          <t>Föryngringsavverkning</t>
        </is>
      </c>
      <c r="D217" s="1" t="n">
        <v>45253</v>
      </c>
      <c r="E217" s="1" t="n">
        <v>46218</v>
      </c>
      <c r="F217" t="inlineStr">
        <is>
          <t>SÖDERMANLANDS LÄN</t>
        </is>
      </c>
      <c r="G217" t="inlineStr">
        <is>
          <t>STRÄNGNÄS</t>
        </is>
      </c>
      <c r="I217" t="n">
        <v>7.1</v>
      </c>
      <c r="J217" t="n">
        <v>0</v>
      </c>
      <c r="K217" t="n">
        <v>0</v>
      </c>
      <c r="L217" t="n">
        <v>0</v>
      </c>
      <c r="M217" t="n">
        <v>0</v>
      </c>
      <c r="N217" t="n">
        <v>0</v>
      </c>
      <c r="O217" t="n">
        <v>0</v>
      </c>
      <c r="P217" t="n">
        <v>0</v>
      </c>
      <c r="Q217" t="n">
        <v>0</v>
      </c>
      <c r="R217" t="n">
        <v>0</v>
      </c>
      <c r="S217" t="n">
        <v>0</v>
      </c>
      <c r="T217" t="n">
        <v>0</v>
      </c>
      <c r="U217" s="2" t="inlineStr"/>
    </row>
    <row r="218" ht="15" customHeight="1">
      <c r="A218" t="inlineStr">
        <is>
          <t>A 16414-2022</t>
        </is>
      </c>
      <c r="B218" t="inlineStr">
        <is>
          <t>avverkningsanmälan</t>
        </is>
      </c>
      <c r="C218" t="inlineStr">
        <is>
          <t>Föryngringsavverkning</t>
        </is>
      </c>
      <c r="D218" s="1" t="n">
        <v>44671</v>
      </c>
      <c r="E218" s="1" t="n">
        <v>46218</v>
      </c>
      <c r="F218" t="inlineStr">
        <is>
          <t>SÖDERMANLANDS LÄN</t>
        </is>
      </c>
      <c r="G218" t="inlineStr">
        <is>
          <t>STRÄNGNÄS</t>
        </is>
      </c>
      <c r="H218" t="inlineStr">
        <is>
          <t>Övriga Aktiebolag</t>
        </is>
      </c>
      <c r="I218" t="n">
        <v>3.6</v>
      </c>
      <c r="J218" t="n">
        <v>0</v>
      </c>
      <c r="K218" t="n">
        <v>0</v>
      </c>
      <c r="L218" t="n">
        <v>0</v>
      </c>
      <c r="M218" t="n">
        <v>0</v>
      </c>
      <c r="N218" t="n">
        <v>0</v>
      </c>
      <c r="O218" t="n">
        <v>0</v>
      </c>
      <c r="P218" t="n">
        <v>0</v>
      </c>
      <c r="Q218" t="n">
        <v>0</v>
      </c>
      <c r="R218" t="n">
        <v>0</v>
      </c>
      <c r="S218" t="n">
        <v>0</v>
      </c>
      <c r="T218" t="n">
        <v>0</v>
      </c>
      <c r="U218" s="2" t="inlineStr"/>
    </row>
    <row r="219" ht="15" customHeight="1">
      <c r="A219" t="inlineStr">
        <is>
          <t>A 43669-2022</t>
        </is>
      </c>
      <c r="B219" t="inlineStr">
        <is>
          <t>avverkningsanmälan</t>
        </is>
      </c>
      <c r="C219" t="inlineStr">
        <is>
          <t>Föryngringsavverkning</t>
        </is>
      </c>
      <c r="D219" s="1" t="n">
        <v>44834</v>
      </c>
      <c r="E219" s="1" t="n">
        <v>46218</v>
      </c>
      <c r="F219" t="inlineStr">
        <is>
          <t>SÖDERMANLANDS LÄN</t>
        </is>
      </c>
      <c r="G219" t="inlineStr">
        <is>
          <t>STRÄNGNÄS</t>
        </is>
      </c>
      <c r="I219" t="n">
        <v>1.9</v>
      </c>
      <c r="J219" t="n">
        <v>0</v>
      </c>
      <c r="K219" t="n">
        <v>0</v>
      </c>
      <c r="L219" t="n">
        <v>0</v>
      </c>
      <c r="M219" t="n">
        <v>0</v>
      </c>
      <c r="N219" t="n">
        <v>0</v>
      </c>
      <c r="O219" t="n">
        <v>0</v>
      </c>
      <c r="P219" t="n">
        <v>0</v>
      </c>
      <c r="Q219" t="n">
        <v>0</v>
      </c>
      <c r="R219" t="n">
        <v>0</v>
      </c>
      <c r="S219" t="n">
        <v>0</v>
      </c>
      <c r="T219" t="n">
        <v>0</v>
      </c>
      <c r="U219" s="2" t="inlineStr"/>
    </row>
    <row r="220" ht="15" customHeight="1">
      <c r="A220" t="inlineStr">
        <is>
          <t>A 54451-2025</t>
        </is>
      </c>
      <c r="B220" t="inlineStr">
        <is>
          <t>avverkningsanmälan</t>
        </is>
      </c>
      <c r="C220" t="inlineStr">
        <is>
          <t>Föryngringsavverkning</t>
        </is>
      </c>
      <c r="D220" s="1" t="n">
        <v>45965</v>
      </c>
      <c r="E220" s="1" t="n">
        <v>46218</v>
      </c>
      <c r="F220" t="inlineStr">
        <is>
          <t>SÖDERMANLANDS LÄN</t>
        </is>
      </c>
      <c r="G220" t="inlineStr">
        <is>
          <t>STRÄNGNÄS</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23541-2023</t>
        </is>
      </c>
      <c r="B221" t="inlineStr">
        <is>
          <t>avverkningsanmälan</t>
        </is>
      </c>
      <c r="C221" t="inlineStr">
        <is>
          <t>Föryngringsavverkning</t>
        </is>
      </c>
      <c r="D221" s="1" t="n">
        <v>45077</v>
      </c>
      <c r="E221" s="1" t="n">
        <v>46218</v>
      </c>
      <c r="F221" t="inlineStr">
        <is>
          <t>SÖDERMANLANDS LÄN</t>
        </is>
      </c>
      <c r="G221" t="inlineStr">
        <is>
          <t>STRÄNGNÄS</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42117-2022</t>
        </is>
      </c>
      <c r="B222" t="inlineStr">
        <is>
          <t>avverkningsanmälan</t>
        </is>
      </c>
      <c r="C222" t="inlineStr">
        <is>
          <t>Föryngringsavverkning</t>
        </is>
      </c>
      <c r="D222" s="1" t="n">
        <v>44830</v>
      </c>
      <c r="E222" s="1" t="n">
        <v>46218</v>
      </c>
      <c r="F222" t="inlineStr">
        <is>
          <t>SÖDERMANLANDS LÄN</t>
        </is>
      </c>
      <c r="G222" t="inlineStr">
        <is>
          <t>STRÄNGNÄS</t>
        </is>
      </c>
      <c r="H222" t="inlineStr">
        <is>
          <t>Allmännings- och besparingsskogar</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60747-2021</t>
        </is>
      </c>
      <c r="B223" t="inlineStr">
        <is>
          <t>avverkningsanmälan</t>
        </is>
      </c>
      <c r="C223" t="inlineStr">
        <is>
          <t>Föryngringsavverkning</t>
        </is>
      </c>
      <c r="D223" s="1" t="n">
        <v>44496</v>
      </c>
      <c r="E223" s="1" t="n">
        <v>46218</v>
      </c>
      <c r="F223" t="inlineStr">
        <is>
          <t>SÖDERMANLANDS LÄN</t>
        </is>
      </c>
      <c r="G223" t="inlineStr">
        <is>
          <t>STRÄNGNÄS</t>
        </is>
      </c>
      <c r="I223" t="n">
        <v>3.3</v>
      </c>
      <c r="J223" t="n">
        <v>0</v>
      </c>
      <c r="K223" t="n">
        <v>0</v>
      </c>
      <c r="L223" t="n">
        <v>0</v>
      </c>
      <c r="M223" t="n">
        <v>0</v>
      </c>
      <c r="N223" t="n">
        <v>0</v>
      </c>
      <c r="O223" t="n">
        <v>0</v>
      </c>
      <c r="P223" t="n">
        <v>0</v>
      </c>
      <c r="Q223" t="n">
        <v>0</v>
      </c>
      <c r="R223" t="n">
        <v>0</v>
      </c>
      <c r="S223" t="n">
        <v>0</v>
      </c>
      <c r="T223" t="n">
        <v>0</v>
      </c>
      <c r="U223" s="2" t="inlineStr"/>
    </row>
    <row r="224" ht="15" customHeight="1">
      <c r="A224" t="inlineStr">
        <is>
          <t>A 71414-2021</t>
        </is>
      </c>
      <c r="B224" t="inlineStr">
        <is>
          <t>avverkningsanmälan</t>
        </is>
      </c>
      <c r="C224" t="inlineStr">
        <is>
          <t>Föryngringsavverkning</t>
        </is>
      </c>
      <c r="D224" s="1" t="n">
        <v>44540</v>
      </c>
      <c r="E224" s="1" t="n">
        <v>46218</v>
      </c>
      <c r="F224" t="inlineStr">
        <is>
          <t>SÖDERMANLANDS LÄN</t>
        </is>
      </c>
      <c r="G224" t="inlineStr">
        <is>
          <t>STRÄNGNÄS</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61567-2024</t>
        </is>
      </c>
      <c r="B225" t="inlineStr">
        <is>
          <t>avverkningsanmälan</t>
        </is>
      </c>
      <c r="C225" t="inlineStr">
        <is>
          <t>Avverkning för annat ändamål</t>
        </is>
      </c>
      <c r="D225" s="1" t="n">
        <v>45646</v>
      </c>
      <c r="E225" s="1" t="n">
        <v>46218</v>
      </c>
      <c r="F225" t="inlineStr">
        <is>
          <t>SÖDERMANLANDS LÄN</t>
        </is>
      </c>
      <c r="G225" t="inlineStr">
        <is>
          <t>STRÄNGNÄS</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32079-2024</t>
        </is>
      </c>
      <c r="B226" t="inlineStr">
        <is>
          <t>avverkningsanmälan</t>
        </is>
      </c>
      <c r="C226" t="inlineStr">
        <is>
          <t>Föryngringsavverkning</t>
        </is>
      </c>
      <c r="D226" s="1" t="n">
        <v>45511</v>
      </c>
      <c r="E226" s="1" t="n">
        <v>46218</v>
      </c>
      <c r="F226" t="inlineStr">
        <is>
          <t>SÖDERMANLANDS LÄN</t>
        </is>
      </c>
      <c r="G226" t="inlineStr">
        <is>
          <t>STRÄNGNÄS</t>
        </is>
      </c>
      <c r="I226" t="n">
        <v>3.2</v>
      </c>
      <c r="J226" t="n">
        <v>0</v>
      </c>
      <c r="K226" t="n">
        <v>0</v>
      </c>
      <c r="L226" t="n">
        <v>0</v>
      </c>
      <c r="M226" t="n">
        <v>0</v>
      </c>
      <c r="N226" t="n">
        <v>0</v>
      </c>
      <c r="O226" t="n">
        <v>0</v>
      </c>
      <c r="P226" t="n">
        <v>0</v>
      </c>
      <c r="Q226" t="n">
        <v>0</v>
      </c>
      <c r="R226" t="n">
        <v>0</v>
      </c>
      <c r="S226" t="n">
        <v>0</v>
      </c>
      <c r="T226" t="n">
        <v>0</v>
      </c>
      <c r="U226" s="2" t="inlineStr"/>
    </row>
    <row r="227" ht="15" customHeight="1">
      <c r="A227" t="inlineStr">
        <is>
          <t>A 15087-2025</t>
        </is>
      </c>
      <c r="B227" t="inlineStr">
        <is>
          <t>avverkningsanmälan</t>
        </is>
      </c>
      <c r="C227" t="inlineStr">
        <is>
          <t>Föryngringsavverkning</t>
        </is>
      </c>
      <c r="D227" s="1" t="n">
        <v>45743</v>
      </c>
      <c r="E227" s="1" t="n">
        <v>46218</v>
      </c>
      <c r="F227" t="inlineStr">
        <is>
          <t>SÖDERMANLANDS LÄN</t>
        </is>
      </c>
      <c r="G227" t="inlineStr">
        <is>
          <t>STRÄNGNÄS</t>
        </is>
      </c>
      <c r="I227" t="n">
        <v>4.9</v>
      </c>
      <c r="J227" t="n">
        <v>0</v>
      </c>
      <c r="K227" t="n">
        <v>0</v>
      </c>
      <c r="L227" t="n">
        <v>0</v>
      </c>
      <c r="M227" t="n">
        <v>0</v>
      </c>
      <c r="N227" t="n">
        <v>0</v>
      </c>
      <c r="O227" t="n">
        <v>0</v>
      </c>
      <c r="P227" t="n">
        <v>0</v>
      </c>
      <c r="Q227" t="n">
        <v>0</v>
      </c>
      <c r="R227" t="n">
        <v>0</v>
      </c>
      <c r="S227" t="n">
        <v>0</v>
      </c>
      <c r="T227" t="n">
        <v>0</v>
      </c>
      <c r="U227" s="2" t="inlineStr"/>
    </row>
    <row r="228" ht="15" customHeight="1">
      <c r="A228" t="inlineStr">
        <is>
          <t>A 56124-2025</t>
        </is>
      </c>
      <c r="B228" t="inlineStr">
        <is>
          <t>avverkningsanmälan</t>
        </is>
      </c>
      <c r="C228" t="inlineStr">
        <is>
          <t>Avverkning för annat ändamål</t>
        </is>
      </c>
      <c r="D228" s="1" t="n">
        <v>45973</v>
      </c>
      <c r="E228" s="1" t="n">
        <v>46218</v>
      </c>
      <c r="F228" t="inlineStr">
        <is>
          <t>SÖDERMANLANDS LÄN</t>
        </is>
      </c>
      <c r="G228" t="inlineStr">
        <is>
          <t>STRÄNGNÄS</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57150-2025</t>
        </is>
      </c>
      <c r="B229" t="inlineStr">
        <is>
          <t>avverkningsanmälan</t>
        </is>
      </c>
      <c r="C229" t="inlineStr">
        <is>
          <t>Föryngringsavverkning</t>
        </is>
      </c>
      <c r="D229" s="1" t="n">
        <v>45979</v>
      </c>
      <c r="E229" s="1" t="n">
        <v>46218</v>
      </c>
      <c r="F229" t="inlineStr">
        <is>
          <t>SÖDERMANLANDS LÄN</t>
        </is>
      </c>
      <c r="G229" t="inlineStr">
        <is>
          <t>STRÄNGNÄS</t>
        </is>
      </c>
      <c r="I229" t="n">
        <v>13.8</v>
      </c>
      <c r="J229" t="n">
        <v>0</v>
      </c>
      <c r="K229" t="n">
        <v>0</v>
      </c>
      <c r="L229" t="n">
        <v>0</v>
      </c>
      <c r="M229" t="n">
        <v>0</v>
      </c>
      <c r="N229" t="n">
        <v>0</v>
      </c>
      <c r="O229" t="n">
        <v>0</v>
      </c>
      <c r="P229" t="n">
        <v>0</v>
      </c>
      <c r="Q229" t="n">
        <v>0</v>
      </c>
      <c r="R229" t="n">
        <v>0</v>
      </c>
      <c r="S229" t="n">
        <v>0</v>
      </c>
      <c r="T229" t="n">
        <v>0</v>
      </c>
      <c r="U229" s="2" t="inlineStr"/>
    </row>
    <row r="230" ht="15" customHeight="1">
      <c r="A230" t="inlineStr">
        <is>
          <t>A 42750-2023</t>
        </is>
      </c>
      <c r="B230" t="inlineStr">
        <is>
          <t>avverkningsanmälan</t>
        </is>
      </c>
      <c r="C230" t="inlineStr">
        <is>
          <t>Föryngringsavverkning</t>
        </is>
      </c>
      <c r="D230" s="1" t="n">
        <v>45177</v>
      </c>
      <c r="E230" s="1" t="n">
        <v>46218</v>
      </c>
      <c r="F230" t="inlineStr">
        <is>
          <t>SÖDERMANLANDS LÄN</t>
        </is>
      </c>
      <c r="G230" t="inlineStr">
        <is>
          <t>STRÄNGNÄS</t>
        </is>
      </c>
      <c r="H230" t="inlineStr">
        <is>
          <t>Övriga statliga verk och myndigheter</t>
        </is>
      </c>
      <c r="I230" t="n">
        <v>3.6</v>
      </c>
      <c r="J230" t="n">
        <v>0</v>
      </c>
      <c r="K230" t="n">
        <v>0</v>
      </c>
      <c r="L230" t="n">
        <v>0</v>
      </c>
      <c r="M230" t="n">
        <v>0</v>
      </c>
      <c r="N230" t="n">
        <v>0</v>
      </c>
      <c r="O230" t="n">
        <v>0</v>
      </c>
      <c r="P230" t="n">
        <v>0</v>
      </c>
      <c r="Q230" t="n">
        <v>0</v>
      </c>
      <c r="R230" t="n">
        <v>0</v>
      </c>
      <c r="S230" t="n">
        <v>0</v>
      </c>
      <c r="T230" t="n">
        <v>0</v>
      </c>
      <c r="U230" s="2" t="inlineStr"/>
    </row>
    <row r="231" ht="15" customHeight="1">
      <c r="A231" t="inlineStr">
        <is>
          <t>A 18860-2023</t>
        </is>
      </c>
      <c r="B231" t="inlineStr">
        <is>
          <t>avverkningsanmälan</t>
        </is>
      </c>
      <c r="C231" t="inlineStr">
        <is>
          <t>Föryngringsavverkning</t>
        </is>
      </c>
      <c r="D231" s="1" t="n">
        <v>45044</v>
      </c>
      <c r="E231" s="1" t="n">
        <v>46218</v>
      </c>
      <c r="F231" t="inlineStr">
        <is>
          <t>SÖDERMANLANDS LÄN</t>
        </is>
      </c>
      <c r="G231" t="inlineStr">
        <is>
          <t>STRÄNGNÄS</t>
        </is>
      </c>
      <c r="I231" t="n">
        <v>2.5</v>
      </c>
      <c r="J231" t="n">
        <v>0</v>
      </c>
      <c r="K231" t="n">
        <v>0</v>
      </c>
      <c r="L231" t="n">
        <v>0</v>
      </c>
      <c r="M231" t="n">
        <v>0</v>
      </c>
      <c r="N231" t="n">
        <v>0</v>
      </c>
      <c r="O231" t="n">
        <v>0</v>
      </c>
      <c r="P231" t="n">
        <v>0</v>
      </c>
      <c r="Q231" t="n">
        <v>0</v>
      </c>
      <c r="R231" t="n">
        <v>0</v>
      </c>
      <c r="S231" t="n">
        <v>0</v>
      </c>
      <c r="T231" t="n">
        <v>0</v>
      </c>
      <c r="U231" s="2" t="inlineStr"/>
    </row>
    <row r="232" ht="15" customHeight="1">
      <c r="A232" t="inlineStr">
        <is>
          <t>A 18865-2023</t>
        </is>
      </c>
      <c r="B232" t="inlineStr">
        <is>
          <t>avverkningsanmälan</t>
        </is>
      </c>
      <c r="C232" t="inlineStr">
        <is>
          <t>Föryngringsavverkning</t>
        </is>
      </c>
      <c r="D232" s="1" t="n">
        <v>45044</v>
      </c>
      <c r="E232" s="1" t="n">
        <v>46218</v>
      </c>
      <c r="F232" t="inlineStr">
        <is>
          <t>SÖDERMANLANDS LÄN</t>
        </is>
      </c>
      <c r="G232" t="inlineStr">
        <is>
          <t>STRÄNGNÄS</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30622-2025</t>
        </is>
      </c>
      <c r="B233" t="inlineStr">
        <is>
          <t>avverkningsanmälan</t>
        </is>
      </c>
      <c r="C233" t="inlineStr">
        <is>
          <t>Föryngringsavverkning</t>
        </is>
      </c>
      <c r="D233" s="1" t="n">
        <v>45831</v>
      </c>
      <c r="E233" s="1" t="n">
        <v>46218</v>
      </c>
      <c r="F233" t="inlineStr">
        <is>
          <t>SÖDERMANLANDS LÄN</t>
        </is>
      </c>
      <c r="G233" t="inlineStr">
        <is>
          <t>STRÄNGNÄS</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55054-2023</t>
        </is>
      </c>
      <c r="B234" t="inlineStr">
        <is>
          <t>avverkningsanmälan</t>
        </is>
      </c>
      <c r="C234" t="inlineStr">
        <is>
          <t>Föryngringsavverkning</t>
        </is>
      </c>
      <c r="D234" s="1" t="n">
        <v>45237</v>
      </c>
      <c r="E234" s="1" t="n">
        <v>46218</v>
      </c>
      <c r="F234" t="inlineStr">
        <is>
          <t>SÖDERMANLANDS LÄN</t>
        </is>
      </c>
      <c r="G234" t="inlineStr">
        <is>
          <t>STRÄNGNÄS</t>
        </is>
      </c>
      <c r="H234" t="inlineStr">
        <is>
          <t>Sveaskog</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58936-2025</t>
        </is>
      </c>
      <c r="B235" t="inlineStr">
        <is>
          <t>avverkningsanmälan</t>
        </is>
      </c>
      <c r="C235" t="inlineStr">
        <is>
          <t>Föryngringsavverkning</t>
        </is>
      </c>
      <c r="D235" s="1" t="n">
        <v>45986</v>
      </c>
      <c r="E235" s="1" t="n">
        <v>46218</v>
      </c>
      <c r="F235" t="inlineStr">
        <is>
          <t>SÖDERMANLANDS LÄN</t>
        </is>
      </c>
      <c r="G235" t="inlineStr">
        <is>
          <t>STRÄNGNÄS</t>
        </is>
      </c>
      <c r="I235" t="n">
        <v>2.7</v>
      </c>
      <c r="J235" t="n">
        <v>0</v>
      </c>
      <c r="K235" t="n">
        <v>0</v>
      </c>
      <c r="L235" t="n">
        <v>0</v>
      </c>
      <c r="M235" t="n">
        <v>0</v>
      </c>
      <c r="N235" t="n">
        <v>0</v>
      </c>
      <c r="O235" t="n">
        <v>0</v>
      </c>
      <c r="P235" t="n">
        <v>0</v>
      </c>
      <c r="Q235" t="n">
        <v>0</v>
      </c>
      <c r="R235" t="n">
        <v>0</v>
      </c>
      <c r="S235" t="n">
        <v>0</v>
      </c>
      <c r="T235" t="n">
        <v>0</v>
      </c>
      <c r="U235" s="2" t="inlineStr"/>
    </row>
    <row r="236" ht="15" customHeight="1">
      <c r="A236" t="inlineStr">
        <is>
          <t>A 24980-2025</t>
        </is>
      </c>
      <c r="B236" t="inlineStr">
        <is>
          <t>avverkningsanmälan</t>
        </is>
      </c>
      <c r="C236" t="inlineStr">
        <is>
          <t>Avverkning för annat ändamål</t>
        </is>
      </c>
      <c r="D236" s="1" t="n">
        <v>45799</v>
      </c>
      <c r="E236" s="1" t="n">
        <v>46218</v>
      </c>
      <c r="F236" t="inlineStr">
        <is>
          <t>SÖDERMANLANDS LÄN</t>
        </is>
      </c>
      <c r="G236" t="inlineStr">
        <is>
          <t>STRÄNGNÄS</t>
        </is>
      </c>
      <c r="H236" t="inlineStr">
        <is>
          <t>Övriga Aktiebolag</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3773-2025</t>
        </is>
      </c>
      <c r="B237" t="inlineStr">
        <is>
          <t>avverkningsanmälan</t>
        </is>
      </c>
      <c r="C237" t="inlineStr">
        <is>
          <t>Föryngringsavverkning</t>
        </is>
      </c>
      <c r="D237" s="1" t="n">
        <v>45681</v>
      </c>
      <c r="E237" s="1" t="n">
        <v>46218</v>
      </c>
      <c r="F237" t="inlineStr">
        <is>
          <t>SÖDERMANLANDS LÄN</t>
        </is>
      </c>
      <c r="G237" t="inlineStr">
        <is>
          <t>STRÄNGNÄS</t>
        </is>
      </c>
      <c r="I237" t="n">
        <v>2.7</v>
      </c>
      <c r="J237" t="n">
        <v>0</v>
      </c>
      <c r="K237" t="n">
        <v>0</v>
      </c>
      <c r="L237" t="n">
        <v>0</v>
      </c>
      <c r="M237" t="n">
        <v>0</v>
      </c>
      <c r="N237" t="n">
        <v>0</v>
      </c>
      <c r="O237" t="n">
        <v>0</v>
      </c>
      <c r="P237" t="n">
        <v>0</v>
      </c>
      <c r="Q237" t="n">
        <v>0</v>
      </c>
      <c r="R237" t="n">
        <v>0</v>
      </c>
      <c r="S237" t="n">
        <v>0</v>
      </c>
      <c r="T237" t="n">
        <v>0</v>
      </c>
      <c r="U237" s="2" t="inlineStr"/>
    </row>
    <row r="238" ht="15" customHeight="1">
      <c r="A238" t="inlineStr">
        <is>
          <t>A 32627-2025</t>
        </is>
      </c>
      <c r="B238" t="inlineStr">
        <is>
          <t>avverkningsanmälan</t>
        </is>
      </c>
      <c r="C238" t="inlineStr">
        <is>
          <t>Föryngringsavverkning</t>
        </is>
      </c>
      <c r="D238" s="1" t="n">
        <v>45838</v>
      </c>
      <c r="E238" s="1" t="n">
        <v>46218</v>
      </c>
      <c r="F238" t="inlineStr">
        <is>
          <t>SÖDERMANLANDS LÄN</t>
        </is>
      </c>
      <c r="G238" t="inlineStr">
        <is>
          <t>STRÄNGNÄS</t>
        </is>
      </c>
      <c r="I238" t="n">
        <v>3</v>
      </c>
      <c r="J238" t="n">
        <v>0</v>
      </c>
      <c r="K238" t="n">
        <v>0</v>
      </c>
      <c r="L238" t="n">
        <v>0</v>
      </c>
      <c r="M238" t="n">
        <v>0</v>
      </c>
      <c r="N238" t="n">
        <v>0</v>
      </c>
      <c r="O238" t="n">
        <v>0</v>
      </c>
      <c r="P238" t="n">
        <v>0</v>
      </c>
      <c r="Q238" t="n">
        <v>0</v>
      </c>
      <c r="R238" t="n">
        <v>0</v>
      </c>
      <c r="S238" t="n">
        <v>0</v>
      </c>
      <c r="T238" t="n">
        <v>0</v>
      </c>
      <c r="U238" s="2" t="inlineStr"/>
    </row>
    <row r="239" ht="15" customHeight="1">
      <c r="A239" t="inlineStr">
        <is>
          <t>A 56984-2024</t>
        </is>
      </c>
      <c r="B239" t="inlineStr">
        <is>
          <t>avverkningsanmälan</t>
        </is>
      </c>
      <c r="C239" t="inlineStr">
        <is>
          <t>Föryngringsavverkning</t>
        </is>
      </c>
      <c r="D239" s="1" t="n">
        <v>45628</v>
      </c>
      <c r="E239" s="1" t="n">
        <v>46218</v>
      </c>
      <c r="F239" t="inlineStr">
        <is>
          <t>SÖDERMANLANDS LÄN</t>
        </is>
      </c>
      <c r="G239" t="inlineStr">
        <is>
          <t>STRÄNGNÄS</t>
        </is>
      </c>
      <c r="I239" t="n">
        <v>7.6</v>
      </c>
      <c r="J239" t="n">
        <v>0</v>
      </c>
      <c r="K239" t="n">
        <v>0</v>
      </c>
      <c r="L239" t="n">
        <v>0</v>
      </c>
      <c r="M239" t="n">
        <v>0</v>
      </c>
      <c r="N239" t="n">
        <v>0</v>
      </c>
      <c r="O239" t="n">
        <v>0</v>
      </c>
      <c r="P239" t="n">
        <v>0</v>
      </c>
      <c r="Q239" t="n">
        <v>0</v>
      </c>
      <c r="R239" t="n">
        <v>0</v>
      </c>
      <c r="S239" t="n">
        <v>0</v>
      </c>
      <c r="T239" t="n">
        <v>0</v>
      </c>
      <c r="U239" s="2" t="inlineStr"/>
    </row>
    <row r="240" ht="15" customHeight="1">
      <c r="A240" t="inlineStr">
        <is>
          <t>A 58935-2025</t>
        </is>
      </c>
      <c r="B240" t="inlineStr">
        <is>
          <t>avverkningsanmälan</t>
        </is>
      </c>
      <c r="C240" t="inlineStr">
        <is>
          <t>Föryngringsavverkning</t>
        </is>
      </c>
      <c r="D240" s="1" t="n">
        <v>45986</v>
      </c>
      <c r="E240" s="1" t="n">
        <v>46218</v>
      </c>
      <c r="F240" t="inlineStr">
        <is>
          <t>SÖDERMANLANDS LÄN</t>
        </is>
      </c>
      <c r="G240" t="inlineStr">
        <is>
          <t>STRÄNGNÄS</t>
        </is>
      </c>
      <c r="I240" t="n">
        <v>6.6</v>
      </c>
      <c r="J240" t="n">
        <v>0</v>
      </c>
      <c r="K240" t="n">
        <v>0</v>
      </c>
      <c r="L240" t="n">
        <v>0</v>
      </c>
      <c r="M240" t="n">
        <v>0</v>
      </c>
      <c r="N240" t="n">
        <v>0</v>
      </c>
      <c r="O240" t="n">
        <v>0</v>
      </c>
      <c r="P240" t="n">
        <v>0</v>
      </c>
      <c r="Q240" t="n">
        <v>0</v>
      </c>
      <c r="R240" t="n">
        <v>0</v>
      </c>
      <c r="S240" t="n">
        <v>0</v>
      </c>
      <c r="T240" t="n">
        <v>0</v>
      </c>
      <c r="U240" s="2" t="inlineStr"/>
    </row>
    <row r="241" ht="15" customHeight="1">
      <c r="A241" t="inlineStr">
        <is>
          <t>A 52790-2023</t>
        </is>
      </c>
      <c r="B241" t="inlineStr">
        <is>
          <t>avverkningsanmälan</t>
        </is>
      </c>
      <c r="C241" t="inlineStr">
        <is>
          <t>Föryngringsavverkning</t>
        </is>
      </c>
      <c r="D241" s="1" t="n">
        <v>45219</v>
      </c>
      <c r="E241" s="1" t="n">
        <v>46218</v>
      </c>
      <c r="F241" t="inlineStr">
        <is>
          <t>SÖDERMANLANDS LÄN</t>
        </is>
      </c>
      <c r="G241" t="inlineStr">
        <is>
          <t>STRÄNGNÄS</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56989-2024</t>
        </is>
      </c>
      <c r="B242" t="inlineStr">
        <is>
          <t>avverkningsanmälan</t>
        </is>
      </c>
      <c r="C242" t="inlineStr">
        <is>
          <t>Föryngringsavverkning</t>
        </is>
      </c>
      <c r="D242" s="1" t="n">
        <v>45628</v>
      </c>
      <c r="E242" s="1" t="n">
        <v>46218</v>
      </c>
      <c r="F242" t="inlineStr">
        <is>
          <t>SÖDERMANLANDS LÄN</t>
        </is>
      </c>
      <c r="G242" t="inlineStr">
        <is>
          <t>STRÄNGNÄS</t>
        </is>
      </c>
      <c r="I242" t="n">
        <v>7.6</v>
      </c>
      <c r="J242" t="n">
        <v>0</v>
      </c>
      <c r="K242" t="n">
        <v>0</v>
      </c>
      <c r="L242" t="n">
        <v>0</v>
      </c>
      <c r="M242" t="n">
        <v>0</v>
      </c>
      <c r="N242" t="n">
        <v>0</v>
      </c>
      <c r="O242" t="n">
        <v>0</v>
      </c>
      <c r="P242" t="n">
        <v>0</v>
      </c>
      <c r="Q242" t="n">
        <v>0</v>
      </c>
      <c r="R242" t="n">
        <v>0</v>
      </c>
      <c r="S242" t="n">
        <v>0</v>
      </c>
      <c r="T242" t="n">
        <v>0</v>
      </c>
      <c r="U242" s="2" t="inlineStr"/>
    </row>
    <row r="243" ht="15" customHeight="1">
      <c r="A243" t="inlineStr">
        <is>
          <t>A 2497-2022</t>
        </is>
      </c>
      <c r="B243" t="inlineStr">
        <is>
          <t>avverkningsanmälan</t>
        </is>
      </c>
      <c r="C243" t="inlineStr">
        <is>
          <t>Föryngringsavverkning</t>
        </is>
      </c>
      <c r="D243" s="1" t="n">
        <v>44579</v>
      </c>
      <c r="E243" s="1" t="n">
        <v>46218</v>
      </c>
      <c r="F243" t="inlineStr">
        <is>
          <t>SÖDERMANLANDS LÄN</t>
        </is>
      </c>
      <c r="G243" t="inlineStr">
        <is>
          <t>STRÄNGNÄS</t>
        </is>
      </c>
      <c r="H243" t="inlineStr">
        <is>
          <t>Allmännings- och besparingsskogar</t>
        </is>
      </c>
      <c r="I243" t="n">
        <v>2.3</v>
      </c>
      <c r="J243" t="n">
        <v>0</v>
      </c>
      <c r="K243" t="n">
        <v>0</v>
      </c>
      <c r="L243" t="n">
        <v>0</v>
      </c>
      <c r="M243" t="n">
        <v>0</v>
      </c>
      <c r="N243" t="n">
        <v>0</v>
      </c>
      <c r="O243" t="n">
        <v>0</v>
      </c>
      <c r="P243" t="n">
        <v>0</v>
      </c>
      <c r="Q243" t="n">
        <v>0</v>
      </c>
      <c r="R243" t="n">
        <v>0</v>
      </c>
      <c r="S243" t="n">
        <v>0</v>
      </c>
      <c r="T243" t="n">
        <v>0</v>
      </c>
      <c r="U243" s="2" t="inlineStr"/>
    </row>
    <row r="244" ht="15" customHeight="1">
      <c r="A244" t="inlineStr">
        <is>
          <t>A 56988-2024</t>
        </is>
      </c>
      <c r="B244" t="inlineStr">
        <is>
          <t>avverkningsanmälan</t>
        </is>
      </c>
      <c r="C244" t="inlineStr">
        <is>
          <t>Föryngringsavverkning</t>
        </is>
      </c>
      <c r="D244" s="1" t="n">
        <v>45628</v>
      </c>
      <c r="E244" s="1" t="n">
        <v>46218</v>
      </c>
      <c r="F244" t="inlineStr">
        <is>
          <t>SÖDERMANLANDS LÄN</t>
        </is>
      </c>
      <c r="G244" t="inlineStr">
        <is>
          <t>STRÄNGNÄS</t>
        </is>
      </c>
      <c r="I244" t="n">
        <v>1.8</v>
      </c>
      <c r="J244" t="n">
        <v>0</v>
      </c>
      <c r="K244" t="n">
        <v>0</v>
      </c>
      <c r="L244" t="n">
        <v>0</v>
      </c>
      <c r="M244" t="n">
        <v>0</v>
      </c>
      <c r="N244" t="n">
        <v>0</v>
      </c>
      <c r="O244" t="n">
        <v>0</v>
      </c>
      <c r="P244" t="n">
        <v>0</v>
      </c>
      <c r="Q244" t="n">
        <v>0</v>
      </c>
      <c r="R244" t="n">
        <v>0</v>
      </c>
      <c r="S244" t="n">
        <v>0</v>
      </c>
      <c r="T244" t="n">
        <v>0</v>
      </c>
      <c r="U244" s="2" t="inlineStr"/>
    </row>
    <row r="245" ht="15" customHeight="1">
      <c r="A245" t="inlineStr">
        <is>
          <t>A 20187-2026</t>
        </is>
      </c>
      <c r="B245" t="inlineStr">
        <is>
          <t>avverkningsanmälan</t>
        </is>
      </c>
      <c r="C245" t="inlineStr">
        <is>
          <t>Föryngringsavverkning</t>
        </is>
      </c>
      <c r="D245" s="1" t="n">
        <v>46139</v>
      </c>
      <c r="E245" s="1" t="n">
        <v>46218</v>
      </c>
      <c r="F245" t="inlineStr">
        <is>
          <t>SÖDERMANLANDS LÄN</t>
        </is>
      </c>
      <c r="G245" t="inlineStr">
        <is>
          <t>STRÄNGNÄS</t>
        </is>
      </c>
      <c r="H245" t="inlineStr">
        <is>
          <t>Allmännings- och besparingsskogar</t>
        </is>
      </c>
      <c r="I245" t="n">
        <v>4.2</v>
      </c>
      <c r="J245" t="n">
        <v>0</v>
      </c>
      <c r="K245" t="n">
        <v>0</v>
      </c>
      <c r="L245" t="n">
        <v>0</v>
      </c>
      <c r="M245" t="n">
        <v>0</v>
      </c>
      <c r="N245" t="n">
        <v>0</v>
      </c>
      <c r="O245" t="n">
        <v>0</v>
      </c>
      <c r="P245" t="n">
        <v>0</v>
      </c>
      <c r="Q245" t="n">
        <v>0</v>
      </c>
      <c r="R245" t="n">
        <v>0</v>
      </c>
      <c r="S245" t="n">
        <v>0</v>
      </c>
      <c r="T245" t="n">
        <v>0</v>
      </c>
      <c r="U245" s="2" t="inlineStr"/>
    </row>
    <row r="246" ht="15" customHeight="1">
      <c r="A246" t="inlineStr">
        <is>
          <t>A 40605-2025</t>
        </is>
      </c>
      <c r="B246" t="inlineStr">
        <is>
          <t>avverkningsanmälan</t>
        </is>
      </c>
      <c r="C246" t="inlineStr">
        <is>
          <t>Föryngringsavverkning</t>
        </is>
      </c>
      <c r="D246" s="1" t="n">
        <v>45896</v>
      </c>
      <c r="E246" s="1" t="n">
        <v>46218</v>
      </c>
      <c r="F246" t="inlineStr">
        <is>
          <t>SÖDERMANLANDS LÄN</t>
        </is>
      </c>
      <c r="G246" t="inlineStr">
        <is>
          <t>STRÄNGNÄS</t>
        </is>
      </c>
      <c r="I246" t="n">
        <v>3.1</v>
      </c>
      <c r="J246" t="n">
        <v>0</v>
      </c>
      <c r="K246" t="n">
        <v>0</v>
      </c>
      <c r="L246" t="n">
        <v>0</v>
      </c>
      <c r="M246" t="n">
        <v>0</v>
      </c>
      <c r="N246" t="n">
        <v>0</v>
      </c>
      <c r="O246" t="n">
        <v>0</v>
      </c>
      <c r="P246" t="n">
        <v>0</v>
      </c>
      <c r="Q246" t="n">
        <v>0</v>
      </c>
      <c r="R246" t="n">
        <v>0</v>
      </c>
      <c r="S246" t="n">
        <v>0</v>
      </c>
      <c r="T246" t="n">
        <v>0</v>
      </c>
      <c r="U246" s="2" t="inlineStr"/>
    </row>
    <row r="247" ht="15" customHeight="1">
      <c r="A247" t="inlineStr">
        <is>
          <t>A 35370-2025</t>
        </is>
      </c>
      <c r="B247" t="inlineStr">
        <is>
          <t>avverkningsanmälan</t>
        </is>
      </c>
      <c r="C247" t="inlineStr">
        <is>
          <t>Föryngringsavverkning</t>
        </is>
      </c>
      <c r="D247" s="1" t="n">
        <v>45854</v>
      </c>
      <c r="E247" s="1" t="n">
        <v>46218</v>
      </c>
      <c r="F247" t="inlineStr">
        <is>
          <t>SÖDERMANLANDS LÄN</t>
        </is>
      </c>
      <c r="G247" t="inlineStr">
        <is>
          <t>STRÄNGNÄS</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30477-2024</t>
        </is>
      </c>
      <c r="B248" t="inlineStr">
        <is>
          <t>avverkningsanmälan</t>
        </is>
      </c>
      <c r="C248" t="inlineStr">
        <is>
          <t>Avverkning för annat ändamål</t>
        </is>
      </c>
      <c r="D248" s="1" t="n">
        <v>45491</v>
      </c>
      <c r="E248" s="1" t="n">
        <v>46218</v>
      </c>
      <c r="F248" t="inlineStr">
        <is>
          <t>SÖDERMANLANDS LÄN</t>
        </is>
      </c>
      <c r="G248" t="inlineStr">
        <is>
          <t>STRÄNGNÄS</t>
        </is>
      </c>
      <c r="I248" t="n">
        <v>2.2</v>
      </c>
      <c r="J248" t="n">
        <v>0</v>
      </c>
      <c r="K248" t="n">
        <v>0</v>
      </c>
      <c r="L248" t="n">
        <v>0</v>
      </c>
      <c r="M248" t="n">
        <v>0</v>
      </c>
      <c r="N248" t="n">
        <v>0</v>
      </c>
      <c r="O248" t="n">
        <v>0</v>
      </c>
      <c r="P248" t="n">
        <v>0</v>
      </c>
      <c r="Q248" t="n">
        <v>0</v>
      </c>
      <c r="R248" t="n">
        <v>0</v>
      </c>
      <c r="S248" t="n">
        <v>0</v>
      </c>
      <c r="T248" t="n">
        <v>0</v>
      </c>
      <c r="U248" s="2" t="inlineStr"/>
    </row>
    <row r="249" ht="15" customHeight="1">
      <c r="A249" t="inlineStr">
        <is>
          <t>A 43387-2022</t>
        </is>
      </c>
      <c r="B249" t="inlineStr">
        <is>
          <t>avverkningsanmälan</t>
        </is>
      </c>
      <c r="C249" t="inlineStr">
        <is>
          <t>Föryngringsavverkning</t>
        </is>
      </c>
      <c r="D249" s="1" t="n">
        <v>44834</v>
      </c>
      <c r="E249" s="1" t="n">
        <v>46218</v>
      </c>
      <c r="F249" t="inlineStr">
        <is>
          <t>SÖDERMANLANDS LÄN</t>
        </is>
      </c>
      <c r="G249" t="inlineStr">
        <is>
          <t>STRÄNGNÄS</t>
        </is>
      </c>
      <c r="I249" t="n">
        <v>3.3</v>
      </c>
      <c r="J249" t="n">
        <v>0</v>
      </c>
      <c r="K249" t="n">
        <v>0</v>
      </c>
      <c r="L249" t="n">
        <v>0</v>
      </c>
      <c r="M249" t="n">
        <v>0</v>
      </c>
      <c r="N249" t="n">
        <v>0</v>
      </c>
      <c r="O249" t="n">
        <v>0</v>
      </c>
      <c r="P249" t="n">
        <v>0</v>
      </c>
      <c r="Q249" t="n">
        <v>0</v>
      </c>
      <c r="R249" t="n">
        <v>0</v>
      </c>
      <c r="S249" t="n">
        <v>0</v>
      </c>
      <c r="T249" t="n">
        <v>0</v>
      </c>
      <c r="U249" s="2" t="inlineStr"/>
    </row>
    <row r="250" ht="15" customHeight="1">
      <c r="A250" t="inlineStr">
        <is>
          <t>A 36440-2025</t>
        </is>
      </c>
      <c r="B250" t="inlineStr">
        <is>
          <t>avverkningsanmälan</t>
        </is>
      </c>
      <c r="C250" t="inlineStr">
        <is>
          <t>Föryngringsavverkning</t>
        </is>
      </c>
      <c r="D250" s="1" t="n">
        <v>45869</v>
      </c>
      <c r="E250" s="1" t="n">
        <v>46218</v>
      </c>
      <c r="F250" t="inlineStr">
        <is>
          <t>SÖDERMANLANDS LÄN</t>
        </is>
      </c>
      <c r="G250" t="inlineStr">
        <is>
          <t>STRÄNGNÄS</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4335-2023</t>
        </is>
      </c>
      <c r="B251" t="inlineStr">
        <is>
          <t>avverkningsanmälan</t>
        </is>
      </c>
      <c r="C251" t="inlineStr">
        <is>
          <t>Föryngringsavverkning</t>
        </is>
      </c>
      <c r="D251" s="1" t="n">
        <v>44953</v>
      </c>
      <c r="E251" s="1" t="n">
        <v>46218</v>
      </c>
      <c r="F251" t="inlineStr">
        <is>
          <t>SÖDERMANLANDS LÄN</t>
        </is>
      </c>
      <c r="G251" t="inlineStr">
        <is>
          <t>STRÄNGNÄS</t>
        </is>
      </c>
      <c r="H251" t="inlineStr">
        <is>
          <t>Allmännings- och besparingsskogar</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45984-2022</t>
        </is>
      </c>
      <c r="B252" t="inlineStr">
        <is>
          <t>avverkningsanmälan</t>
        </is>
      </c>
      <c r="C252" t="inlineStr">
        <is>
          <t>Föryngringsavverkning</t>
        </is>
      </c>
      <c r="D252" s="1" t="n">
        <v>44846</v>
      </c>
      <c r="E252" s="1" t="n">
        <v>46218</v>
      </c>
      <c r="F252" t="inlineStr">
        <is>
          <t>SÖDERMANLANDS LÄN</t>
        </is>
      </c>
      <c r="G252" t="inlineStr">
        <is>
          <t>STRÄNGNÄS</t>
        </is>
      </c>
      <c r="I252" t="n">
        <v>5.4</v>
      </c>
      <c r="J252" t="n">
        <v>0</v>
      </c>
      <c r="K252" t="n">
        <v>0</v>
      </c>
      <c r="L252" t="n">
        <v>0</v>
      </c>
      <c r="M252" t="n">
        <v>0</v>
      </c>
      <c r="N252" t="n">
        <v>0</v>
      </c>
      <c r="O252" t="n">
        <v>0</v>
      </c>
      <c r="P252" t="n">
        <v>0</v>
      </c>
      <c r="Q252" t="n">
        <v>0</v>
      </c>
      <c r="R252" t="n">
        <v>0</v>
      </c>
      <c r="S252" t="n">
        <v>0</v>
      </c>
      <c r="T252" t="n">
        <v>0</v>
      </c>
      <c r="U252" s="2" t="inlineStr"/>
    </row>
    <row r="253" ht="15" customHeight="1">
      <c r="A253" t="inlineStr">
        <is>
          <t>A 12114-2023</t>
        </is>
      </c>
      <c r="B253" t="inlineStr">
        <is>
          <t>avverkningsanmälan</t>
        </is>
      </c>
      <c r="C253" t="inlineStr">
        <is>
          <t>Föryngringsavverkning</t>
        </is>
      </c>
      <c r="D253" s="1" t="n">
        <v>44998</v>
      </c>
      <c r="E253" s="1" t="n">
        <v>46218</v>
      </c>
      <c r="F253" t="inlineStr">
        <is>
          <t>SÖDERMANLANDS LÄN</t>
        </is>
      </c>
      <c r="G253" t="inlineStr">
        <is>
          <t>STRÄNGNÄS</t>
        </is>
      </c>
      <c r="I253" t="n">
        <v>7</v>
      </c>
      <c r="J253" t="n">
        <v>0</v>
      </c>
      <c r="K253" t="n">
        <v>0</v>
      </c>
      <c r="L253" t="n">
        <v>0</v>
      </c>
      <c r="M253" t="n">
        <v>0</v>
      </c>
      <c r="N253" t="n">
        <v>0</v>
      </c>
      <c r="O253" t="n">
        <v>0</v>
      </c>
      <c r="P253" t="n">
        <v>0</v>
      </c>
      <c r="Q253" t="n">
        <v>0</v>
      </c>
      <c r="R253" t="n">
        <v>0</v>
      </c>
      <c r="S253" t="n">
        <v>0</v>
      </c>
      <c r="T253" t="n">
        <v>0</v>
      </c>
      <c r="U253" s="2" t="inlineStr"/>
    </row>
    <row r="254" ht="15" customHeight="1">
      <c r="A254" t="inlineStr">
        <is>
          <t>A 54656-2023</t>
        </is>
      </c>
      <c r="B254" t="inlineStr">
        <is>
          <t>avverkningsanmälan</t>
        </is>
      </c>
      <c r="C254" t="inlineStr">
        <is>
          <t>Avverkning för att bevara och utveckla /försöksver</t>
        </is>
      </c>
      <c r="D254" s="1" t="n">
        <v>45235</v>
      </c>
      <c r="E254" s="1" t="n">
        <v>46218</v>
      </c>
      <c r="F254" t="inlineStr">
        <is>
          <t>SÖDERMANLANDS LÄN</t>
        </is>
      </c>
      <c r="G254" t="inlineStr">
        <is>
          <t>STRÄNGNÄS</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38198-2025</t>
        </is>
      </c>
      <c r="B255" t="inlineStr">
        <is>
          <t>avverkningsanmälan</t>
        </is>
      </c>
      <c r="C255" t="inlineStr">
        <is>
          <t>Föryngringsavverkning</t>
        </is>
      </c>
      <c r="D255" s="1" t="n">
        <v>45882</v>
      </c>
      <c r="E255" s="1" t="n">
        <v>46218</v>
      </c>
      <c r="F255" t="inlineStr">
        <is>
          <t>SÖDERMANLANDS LÄN</t>
        </is>
      </c>
      <c r="G255" t="inlineStr">
        <is>
          <t>STRÄNGNÄS</t>
        </is>
      </c>
      <c r="I255" t="n">
        <v>3.4</v>
      </c>
      <c r="J255" t="n">
        <v>0</v>
      </c>
      <c r="K255" t="n">
        <v>0</v>
      </c>
      <c r="L255" t="n">
        <v>0</v>
      </c>
      <c r="M255" t="n">
        <v>0</v>
      </c>
      <c r="N255" t="n">
        <v>0</v>
      </c>
      <c r="O255" t="n">
        <v>0</v>
      </c>
      <c r="P255" t="n">
        <v>0</v>
      </c>
      <c r="Q255" t="n">
        <v>0</v>
      </c>
      <c r="R255" t="n">
        <v>0</v>
      </c>
      <c r="S255" t="n">
        <v>0</v>
      </c>
      <c r="T255" t="n">
        <v>0</v>
      </c>
      <c r="U255" s="2" t="inlineStr"/>
    </row>
    <row r="256" ht="15" customHeight="1">
      <c r="A256" t="inlineStr">
        <is>
          <t>A 12123-2023</t>
        </is>
      </c>
      <c r="B256" t="inlineStr">
        <is>
          <t>avverkningsanmälan</t>
        </is>
      </c>
      <c r="C256" t="inlineStr">
        <is>
          <t>Föryngringsavverkning</t>
        </is>
      </c>
      <c r="D256" s="1" t="n">
        <v>44998</v>
      </c>
      <c r="E256" s="1" t="n">
        <v>46218</v>
      </c>
      <c r="F256" t="inlineStr">
        <is>
          <t>SÖDERMANLANDS LÄN</t>
        </is>
      </c>
      <c r="G256" t="inlineStr">
        <is>
          <t>STRÄNGNÄS</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61124-2025</t>
        </is>
      </c>
      <c r="B257" t="inlineStr">
        <is>
          <t>avverkningsanmälan</t>
        </is>
      </c>
      <c r="C257" t="inlineStr">
        <is>
          <t>Föryngringsavverkning</t>
        </is>
      </c>
      <c r="D257" s="1" t="n">
        <v>46000</v>
      </c>
      <c r="E257" s="1" t="n">
        <v>46218</v>
      </c>
      <c r="F257" t="inlineStr">
        <is>
          <t>SÖDERMANLANDS LÄN</t>
        </is>
      </c>
      <c r="G257" t="inlineStr">
        <is>
          <t>STRÄNGNÄS</t>
        </is>
      </c>
      <c r="H257" t="inlineStr">
        <is>
          <t>Allmännings- och besparingsskogar</t>
        </is>
      </c>
      <c r="I257" t="n">
        <v>4.4</v>
      </c>
      <c r="J257" t="n">
        <v>0</v>
      </c>
      <c r="K257" t="n">
        <v>0</v>
      </c>
      <c r="L257" t="n">
        <v>0</v>
      </c>
      <c r="M257" t="n">
        <v>0</v>
      </c>
      <c r="N257" t="n">
        <v>0</v>
      </c>
      <c r="O257" t="n">
        <v>0</v>
      </c>
      <c r="P257" t="n">
        <v>0</v>
      </c>
      <c r="Q257" t="n">
        <v>0</v>
      </c>
      <c r="R257" t="n">
        <v>0</v>
      </c>
      <c r="S257" t="n">
        <v>0</v>
      </c>
      <c r="T257" t="n">
        <v>0</v>
      </c>
      <c r="U257" s="2" t="inlineStr"/>
    </row>
    <row r="258" ht="15" customHeight="1">
      <c r="A258" t="inlineStr">
        <is>
          <t>A 10346-2023</t>
        </is>
      </c>
      <c r="B258" t="inlineStr">
        <is>
          <t>avverkningsanmälan</t>
        </is>
      </c>
      <c r="C258" t="inlineStr">
        <is>
          <t>Föryngringsavverkning</t>
        </is>
      </c>
      <c r="D258" s="1" t="n">
        <v>44987</v>
      </c>
      <c r="E258" s="1" t="n">
        <v>46218</v>
      </c>
      <c r="F258" t="inlineStr">
        <is>
          <t>SÖDERMANLANDS LÄN</t>
        </is>
      </c>
      <c r="G258" t="inlineStr">
        <is>
          <t>STRÄNGNÄS</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41231-2025</t>
        </is>
      </c>
      <c r="B259" t="inlineStr">
        <is>
          <t>avverkningsanmälan</t>
        </is>
      </c>
      <c r="C259" t="inlineStr">
        <is>
          <t>Avverkning för annat ändamål</t>
        </is>
      </c>
      <c r="D259" s="1" t="n">
        <v>45898</v>
      </c>
      <c r="E259" s="1" t="n">
        <v>46218</v>
      </c>
      <c r="F259" t="inlineStr">
        <is>
          <t>SÖDERMANLANDS LÄN</t>
        </is>
      </c>
      <c r="G259" t="inlineStr">
        <is>
          <t>STRÄNGNÄS</t>
        </is>
      </c>
      <c r="I259" t="n">
        <v>5.3</v>
      </c>
      <c r="J259" t="n">
        <v>0</v>
      </c>
      <c r="K259" t="n">
        <v>0</v>
      </c>
      <c r="L259" t="n">
        <v>0</v>
      </c>
      <c r="M259" t="n">
        <v>0</v>
      </c>
      <c r="N259" t="n">
        <v>0</v>
      </c>
      <c r="O259" t="n">
        <v>0</v>
      </c>
      <c r="P259" t="n">
        <v>0</v>
      </c>
      <c r="Q259" t="n">
        <v>0</v>
      </c>
      <c r="R259" t="n">
        <v>0</v>
      </c>
      <c r="S259" t="n">
        <v>0</v>
      </c>
      <c r="T259" t="n">
        <v>0</v>
      </c>
      <c r="U259" s="2" t="inlineStr"/>
    </row>
    <row r="260" ht="15" customHeight="1">
      <c r="A260" t="inlineStr">
        <is>
          <t>A 14847-2023</t>
        </is>
      </c>
      <c r="B260" t="inlineStr">
        <is>
          <t>avverkningsanmälan</t>
        </is>
      </c>
      <c r="C260" t="inlineStr">
        <is>
          <t>Föryngringsavverkning</t>
        </is>
      </c>
      <c r="D260" s="1" t="n">
        <v>45014</v>
      </c>
      <c r="E260" s="1" t="n">
        <v>46218</v>
      </c>
      <c r="F260" t="inlineStr">
        <is>
          <t>SÖDERMANLANDS LÄN</t>
        </is>
      </c>
      <c r="G260" t="inlineStr">
        <is>
          <t>STRÄNGNÄS</t>
        </is>
      </c>
      <c r="H260" t="inlineStr">
        <is>
          <t>Allmännings- och besparingsskogar</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50296-2021</t>
        </is>
      </c>
      <c r="B261" t="inlineStr">
        <is>
          <t>avverkningsanmälan</t>
        </is>
      </c>
      <c r="C261" t="inlineStr">
        <is>
          <t>Föryngringsavverkning</t>
        </is>
      </c>
      <c r="D261" s="1" t="n">
        <v>44459</v>
      </c>
      <c r="E261" s="1" t="n">
        <v>46218</v>
      </c>
      <c r="F261" t="inlineStr">
        <is>
          <t>SÖDERMANLANDS LÄN</t>
        </is>
      </c>
      <c r="G261" t="inlineStr">
        <is>
          <t>STRÄNGNÄS</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62988-2025</t>
        </is>
      </c>
      <c r="B262" t="inlineStr">
        <is>
          <t>avverkningsanmälan</t>
        </is>
      </c>
      <c r="C262" t="inlineStr">
        <is>
          <t>Föryngringsavverkning</t>
        </is>
      </c>
      <c r="D262" s="1" t="n">
        <v>46009</v>
      </c>
      <c r="E262" s="1" t="n">
        <v>46218</v>
      </c>
      <c r="F262" t="inlineStr">
        <is>
          <t>SÖDERMANLANDS LÄN</t>
        </is>
      </c>
      <c r="G262" t="inlineStr">
        <is>
          <t>STRÄNGNÄS</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36469-2023</t>
        </is>
      </c>
      <c r="B263" t="inlineStr">
        <is>
          <t>avverkningsanmälan</t>
        </is>
      </c>
      <c r="C263" t="inlineStr">
        <is>
          <t>Föryngringsavverkning</t>
        </is>
      </c>
      <c r="D263" s="1" t="n">
        <v>45152</v>
      </c>
      <c r="E263" s="1" t="n">
        <v>46218</v>
      </c>
      <c r="F263" t="inlineStr">
        <is>
          <t>SÖDERMANLANDS LÄN</t>
        </is>
      </c>
      <c r="G263" t="inlineStr">
        <is>
          <t>STRÄNGNÄS</t>
        </is>
      </c>
      <c r="H263" t="inlineStr">
        <is>
          <t>Sveaskog</t>
        </is>
      </c>
      <c r="I263" t="n">
        <v>3.2</v>
      </c>
      <c r="J263" t="n">
        <v>0</v>
      </c>
      <c r="K263" t="n">
        <v>0</v>
      </c>
      <c r="L263" t="n">
        <v>0</v>
      </c>
      <c r="M263" t="n">
        <v>0</v>
      </c>
      <c r="N263" t="n">
        <v>0</v>
      </c>
      <c r="O263" t="n">
        <v>0</v>
      </c>
      <c r="P263" t="n">
        <v>0</v>
      </c>
      <c r="Q263" t="n">
        <v>0</v>
      </c>
      <c r="R263" t="n">
        <v>0</v>
      </c>
      <c r="S263" t="n">
        <v>0</v>
      </c>
      <c r="T263" t="n">
        <v>0</v>
      </c>
      <c r="U263" s="2" t="inlineStr"/>
    </row>
    <row r="264" ht="15" customHeight="1">
      <c r="A264" t="inlineStr">
        <is>
          <t>A 41234-2025</t>
        </is>
      </c>
      <c r="B264" t="inlineStr">
        <is>
          <t>avverkningsanmälan</t>
        </is>
      </c>
      <c r="C264" t="inlineStr">
        <is>
          <t>Avverkning för annat ändamål</t>
        </is>
      </c>
      <c r="D264" s="1" t="n">
        <v>45898</v>
      </c>
      <c r="E264" s="1" t="n">
        <v>46218</v>
      </c>
      <c r="F264" t="inlineStr">
        <is>
          <t>SÖDERMANLANDS LÄN</t>
        </is>
      </c>
      <c r="G264" t="inlineStr">
        <is>
          <t>STRÄNGNÄS</t>
        </is>
      </c>
      <c r="I264" t="n">
        <v>3.2</v>
      </c>
      <c r="J264" t="n">
        <v>0</v>
      </c>
      <c r="K264" t="n">
        <v>0</v>
      </c>
      <c r="L264" t="n">
        <v>0</v>
      </c>
      <c r="M264" t="n">
        <v>0</v>
      </c>
      <c r="N264" t="n">
        <v>0</v>
      </c>
      <c r="O264" t="n">
        <v>0</v>
      </c>
      <c r="P264" t="n">
        <v>0</v>
      </c>
      <c r="Q264" t="n">
        <v>0</v>
      </c>
      <c r="R264" t="n">
        <v>0</v>
      </c>
      <c r="S264" t="n">
        <v>0</v>
      </c>
      <c r="T264" t="n">
        <v>0</v>
      </c>
      <c r="U264" s="2" t="inlineStr"/>
    </row>
    <row r="265" ht="15" customHeight="1">
      <c r="A265" t="inlineStr">
        <is>
          <t>A 58241-2022</t>
        </is>
      </c>
      <c r="B265" t="inlineStr">
        <is>
          <t>avverkningsanmälan</t>
        </is>
      </c>
      <c r="C265" t="inlineStr">
        <is>
          <t>Föryngringsavverkning</t>
        </is>
      </c>
      <c r="D265" s="1" t="n">
        <v>44901</v>
      </c>
      <c r="E265" s="1" t="n">
        <v>46218</v>
      </c>
      <c r="F265" t="inlineStr">
        <is>
          <t>SÖDERMANLANDS LÄN</t>
        </is>
      </c>
      <c r="G265" t="inlineStr">
        <is>
          <t>STRÄNGNÄS</t>
        </is>
      </c>
      <c r="I265" t="n">
        <v>0.4</v>
      </c>
      <c r="J265" t="n">
        <v>0</v>
      </c>
      <c r="K265" t="n">
        <v>0</v>
      </c>
      <c r="L265" t="n">
        <v>0</v>
      </c>
      <c r="M265" t="n">
        <v>0</v>
      </c>
      <c r="N265" t="n">
        <v>0</v>
      </c>
      <c r="O265" t="n">
        <v>0</v>
      </c>
      <c r="P265" t="n">
        <v>0</v>
      </c>
      <c r="Q265" t="n">
        <v>0</v>
      </c>
      <c r="R265" t="n">
        <v>0</v>
      </c>
      <c r="S265" t="n">
        <v>0</v>
      </c>
      <c r="T265" t="n">
        <v>0</v>
      </c>
      <c r="U265" s="2" t="inlineStr"/>
    </row>
    <row r="266" ht="15" customHeight="1">
      <c r="A266" t="inlineStr">
        <is>
          <t>A 62746-2025</t>
        </is>
      </c>
      <c r="B266" t="inlineStr">
        <is>
          <t>avverkningsanmälan</t>
        </is>
      </c>
      <c r="C266" t="inlineStr">
        <is>
          <t>Föryngringsavverkning</t>
        </is>
      </c>
      <c r="D266" s="1" t="n">
        <v>46008</v>
      </c>
      <c r="E266" s="1" t="n">
        <v>46218</v>
      </c>
      <c r="F266" t="inlineStr">
        <is>
          <t>SÖDERMANLANDS LÄN</t>
        </is>
      </c>
      <c r="G266" t="inlineStr">
        <is>
          <t>STRÄNGNÄS</t>
        </is>
      </c>
      <c r="I266" t="n">
        <v>3</v>
      </c>
      <c r="J266" t="n">
        <v>0</v>
      </c>
      <c r="K266" t="n">
        <v>0</v>
      </c>
      <c r="L266" t="n">
        <v>0</v>
      </c>
      <c r="M266" t="n">
        <v>0</v>
      </c>
      <c r="N266" t="n">
        <v>0</v>
      </c>
      <c r="O266" t="n">
        <v>0</v>
      </c>
      <c r="P266" t="n">
        <v>0</v>
      </c>
      <c r="Q266" t="n">
        <v>0</v>
      </c>
      <c r="R266" t="n">
        <v>0</v>
      </c>
      <c r="S266" t="n">
        <v>0</v>
      </c>
      <c r="T266" t="n">
        <v>0</v>
      </c>
      <c r="U266" s="2" t="inlineStr"/>
    </row>
    <row r="267" ht="15" customHeight="1">
      <c r="A267" t="inlineStr">
        <is>
          <t>A 28108-2026</t>
        </is>
      </c>
      <c r="B267" t="inlineStr">
        <is>
          <t>avverkningsanmälan</t>
        </is>
      </c>
      <c r="C267" t="inlineStr">
        <is>
          <t>Avverkning för annat ändamål</t>
        </is>
      </c>
      <c r="D267" s="1" t="n">
        <v>46195</v>
      </c>
      <c r="E267" s="1" t="n">
        <v>46218</v>
      </c>
      <c r="F267" t="inlineStr">
        <is>
          <t>SÖDERMANLANDS LÄN</t>
        </is>
      </c>
      <c r="G267" t="inlineStr">
        <is>
          <t>STRÄNGNÄS</t>
        </is>
      </c>
      <c r="H267" t="inlineStr">
        <is>
          <t>Övriga Aktiebolag</t>
        </is>
      </c>
      <c r="I267" t="n">
        <v>0.3</v>
      </c>
      <c r="J267" t="n">
        <v>0</v>
      </c>
      <c r="K267" t="n">
        <v>0</v>
      </c>
      <c r="L267" t="n">
        <v>0</v>
      </c>
      <c r="M267" t="n">
        <v>0</v>
      </c>
      <c r="N267" t="n">
        <v>0</v>
      </c>
      <c r="O267" t="n">
        <v>0</v>
      </c>
      <c r="P267" t="n">
        <v>0</v>
      </c>
      <c r="Q267" t="n">
        <v>0</v>
      </c>
      <c r="R267" t="n">
        <v>0</v>
      </c>
      <c r="S267" t="n">
        <v>0</v>
      </c>
      <c r="T267" t="n">
        <v>0</v>
      </c>
      <c r="U267" s="2" t="inlineStr"/>
    </row>
    <row r="268" ht="15" customHeight="1">
      <c r="A268" t="inlineStr">
        <is>
          <t>A 1209-2026</t>
        </is>
      </c>
      <c r="B268" t="inlineStr">
        <is>
          <t>avverkningsanmälan</t>
        </is>
      </c>
      <c r="C268" t="inlineStr">
        <is>
          <t>Föryngringsavverkning</t>
        </is>
      </c>
      <c r="D268" s="1" t="n">
        <v>46031</v>
      </c>
      <c r="E268" s="1" t="n">
        <v>46218</v>
      </c>
      <c r="F268" t="inlineStr">
        <is>
          <t>SÖDERMANLANDS LÄN</t>
        </is>
      </c>
      <c r="G268" t="inlineStr">
        <is>
          <t>STRÄNGNÄS</t>
        </is>
      </c>
      <c r="I268" t="n">
        <v>1.8</v>
      </c>
      <c r="J268" t="n">
        <v>0</v>
      </c>
      <c r="K268" t="n">
        <v>0</v>
      </c>
      <c r="L268" t="n">
        <v>0</v>
      </c>
      <c r="M268" t="n">
        <v>0</v>
      </c>
      <c r="N268" t="n">
        <v>0</v>
      </c>
      <c r="O268" t="n">
        <v>0</v>
      </c>
      <c r="P268" t="n">
        <v>0</v>
      </c>
      <c r="Q268" t="n">
        <v>0</v>
      </c>
      <c r="R268" t="n">
        <v>0</v>
      </c>
      <c r="S268" t="n">
        <v>0</v>
      </c>
      <c r="T268" t="n">
        <v>0</v>
      </c>
      <c r="U268" s="2" t="inlineStr"/>
    </row>
    <row r="269" ht="15" customHeight="1">
      <c r="A269" t="inlineStr">
        <is>
          <t>A 1108-2026</t>
        </is>
      </c>
      <c r="B269" t="inlineStr">
        <is>
          <t>avverkningsanmälan</t>
        </is>
      </c>
      <c r="C269" t="inlineStr">
        <is>
          <t>Föryngringsavverkning</t>
        </is>
      </c>
      <c r="D269" s="1" t="n">
        <v>46030</v>
      </c>
      <c r="E269" s="1" t="n">
        <v>46218</v>
      </c>
      <c r="F269" t="inlineStr">
        <is>
          <t>SÖDERMANLANDS LÄN</t>
        </is>
      </c>
      <c r="G269" t="inlineStr">
        <is>
          <t>STRÄNGNÄS</t>
        </is>
      </c>
      <c r="I269" t="n">
        <v>3</v>
      </c>
      <c r="J269" t="n">
        <v>0</v>
      </c>
      <c r="K269" t="n">
        <v>0</v>
      </c>
      <c r="L269" t="n">
        <v>0</v>
      </c>
      <c r="M269" t="n">
        <v>0</v>
      </c>
      <c r="N269" t="n">
        <v>0</v>
      </c>
      <c r="O269" t="n">
        <v>0</v>
      </c>
      <c r="P269" t="n">
        <v>0</v>
      </c>
      <c r="Q269" t="n">
        <v>0</v>
      </c>
      <c r="R269" t="n">
        <v>0</v>
      </c>
      <c r="S269" t="n">
        <v>0</v>
      </c>
      <c r="T269" t="n">
        <v>0</v>
      </c>
      <c r="U269" s="2" t="inlineStr"/>
    </row>
    <row r="270" ht="15" customHeight="1">
      <c r="A270" t="inlineStr">
        <is>
          <t>A 28102-2026</t>
        </is>
      </c>
      <c r="B270" t="inlineStr">
        <is>
          <t>avverkningsanmälan</t>
        </is>
      </c>
      <c r="C270" t="inlineStr">
        <is>
          <t>Avverkning för annat ändamål</t>
        </is>
      </c>
      <c r="D270" s="1" t="n">
        <v>46195</v>
      </c>
      <c r="E270" s="1" t="n">
        <v>46218</v>
      </c>
      <c r="F270" t="inlineStr">
        <is>
          <t>SÖDERMANLANDS LÄN</t>
        </is>
      </c>
      <c r="G270" t="inlineStr">
        <is>
          <t>STRÄNGNÄS</t>
        </is>
      </c>
      <c r="H270" t="inlineStr">
        <is>
          <t>Övriga Aktiebolag</t>
        </is>
      </c>
      <c r="I270" t="n">
        <v>0.2</v>
      </c>
      <c r="J270" t="n">
        <v>0</v>
      </c>
      <c r="K270" t="n">
        <v>0</v>
      </c>
      <c r="L270" t="n">
        <v>0</v>
      </c>
      <c r="M270" t="n">
        <v>0</v>
      </c>
      <c r="N270" t="n">
        <v>0</v>
      </c>
      <c r="O270" t="n">
        <v>0</v>
      </c>
      <c r="P270" t="n">
        <v>0</v>
      </c>
      <c r="Q270" t="n">
        <v>0</v>
      </c>
      <c r="R270" t="n">
        <v>0</v>
      </c>
      <c r="S270" t="n">
        <v>0</v>
      </c>
      <c r="T270" t="n">
        <v>0</v>
      </c>
      <c r="U270" s="2" t="inlineStr"/>
    </row>
    <row r="271" ht="15" customHeight="1">
      <c r="A271" t="inlineStr">
        <is>
          <t>A 1117-2022</t>
        </is>
      </c>
      <c r="B271" t="inlineStr">
        <is>
          <t>avverkningsanmälan</t>
        </is>
      </c>
      <c r="C271" t="inlineStr">
        <is>
          <t>Föryngringsavverkning</t>
        </is>
      </c>
      <c r="D271" s="1" t="n">
        <v>44571</v>
      </c>
      <c r="E271" s="1" t="n">
        <v>46218</v>
      </c>
      <c r="F271" t="inlineStr">
        <is>
          <t>SÖDERMANLANDS LÄN</t>
        </is>
      </c>
      <c r="G271" t="inlineStr">
        <is>
          <t>STRÄNGNÄS</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1313-2026</t>
        </is>
      </c>
      <c r="B272" t="inlineStr">
        <is>
          <t>avverkningsanmälan</t>
        </is>
      </c>
      <c r="C272" t="inlineStr">
        <is>
          <t>Föryngringsavverkning</t>
        </is>
      </c>
      <c r="D272" s="1" t="n">
        <v>46031</v>
      </c>
      <c r="E272" s="1" t="n">
        <v>46218</v>
      </c>
      <c r="F272" t="inlineStr">
        <is>
          <t>SÖDERMANLANDS LÄN</t>
        </is>
      </c>
      <c r="G272" t="inlineStr">
        <is>
          <t>STRÄNGNÄS</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1018-2026</t>
        </is>
      </c>
      <c r="B273" t="inlineStr">
        <is>
          <t>avverkningsanmälan</t>
        </is>
      </c>
      <c r="C273" t="inlineStr">
        <is>
          <t>Föryngringsavverkning</t>
        </is>
      </c>
      <c r="D273" s="1" t="n">
        <v>46030</v>
      </c>
      <c r="E273" s="1" t="n">
        <v>46218</v>
      </c>
      <c r="F273" t="inlineStr">
        <is>
          <t>SÖDERMANLANDS LÄN</t>
        </is>
      </c>
      <c r="G273" t="inlineStr">
        <is>
          <t>STRÄNGNÄS</t>
        </is>
      </c>
      <c r="I273" t="n">
        <v>4.7</v>
      </c>
      <c r="J273" t="n">
        <v>0</v>
      </c>
      <c r="K273" t="n">
        <v>0</v>
      </c>
      <c r="L273" t="n">
        <v>0</v>
      </c>
      <c r="M273" t="n">
        <v>0</v>
      </c>
      <c r="N273" t="n">
        <v>0</v>
      </c>
      <c r="O273" t="n">
        <v>0</v>
      </c>
      <c r="P273" t="n">
        <v>0</v>
      </c>
      <c r="Q273" t="n">
        <v>0</v>
      </c>
      <c r="R273" t="n">
        <v>0</v>
      </c>
      <c r="S273" t="n">
        <v>0</v>
      </c>
      <c r="T273" t="n">
        <v>0</v>
      </c>
      <c r="U273" s="2" t="inlineStr"/>
    </row>
    <row r="274" ht="15" customHeight="1">
      <c r="A274" t="inlineStr">
        <is>
          <t>A 1680-2026</t>
        </is>
      </c>
      <c r="B274" t="inlineStr">
        <is>
          <t>avverkningsanmälan</t>
        </is>
      </c>
      <c r="C274" t="inlineStr">
        <is>
          <t>Föryngringsavverkning</t>
        </is>
      </c>
      <c r="D274" s="1" t="n">
        <v>46034</v>
      </c>
      <c r="E274" s="1" t="n">
        <v>46218</v>
      </c>
      <c r="F274" t="inlineStr">
        <is>
          <t>SÖDERMANLANDS LÄN</t>
        </is>
      </c>
      <c r="G274" t="inlineStr">
        <is>
          <t>STRÄNGNÄS</t>
        </is>
      </c>
      <c r="I274" t="n">
        <v>4.9</v>
      </c>
      <c r="J274" t="n">
        <v>0</v>
      </c>
      <c r="K274" t="n">
        <v>0</v>
      </c>
      <c r="L274" t="n">
        <v>0</v>
      </c>
      <c r="M274" t="n">
        <v>0</v>
      </c>
      <c r="N274" t="n">
        <v>0</v>
      </c>
      <c r="O274" t="n">
        <v>0</v>
      </c>
      <c r="P274" t="n">
        <v>0</v>
      </c>
      <c r="Q274" t="n">
        <v>0</v>
      </c>
      <c r="R274" t="n">
        <v>0</v>
      </c>
      <c r="S274" t="n">
        <v>0</v>
      </c>
      <c r="T274" t="n">
        <v>0</v>
      </c>
      <c r="U274" s="2" t="inlineStr"/>
    </row>
    <row r="275" ht="15" customHeight="1">
      <c r="A275" t="inlineStr">
        <is>
          <t>A 1718-2026</t>
        </is>
      </c>
      <c r="B275" t="inlineStr">
        <is>
          <t>avverkningsanmälan</t>
        </is>
      </c>
      <c r="C275" t="inlineStr">
        <is>
          <t>Föryngringsavverkning</t>
        </is>
      </c>
      <c r="D275" s="1" t="n">
        <v>46034</v>
      </c>
      <c r="E275" s="1" t="n">
        <v>46218</v>
      </c>
      <c r="F275" t="inlineStr">
        <is>
          <t>SÖDERMANLANDS LÄN</t>
        </is>
      </c>
      <c r="G275" t="inlineStr">
        <is>
          <t>STRÄNGNÄS</t>
        </is>
      </c>
      <c r="I275" t="n">
        <v>1.5</v>
      </c>
      <c r="J275" t="n">
        <v>0</v>
      </c>
      <c r="K275" t="n">
        <v>0</v>
      </c>
      <c r="L275" t="n">
        <v>0</v>
      </c>
      <c r="M275" t="n">
        <v>0</v>
      </c>
      <c r="N275" t="n">
        <v>0</v>
      </c>
      <c r="O275" t="n">
        <v>0</v>
      </c>
      <c r="P275" t="n">
        <v>0</v>
      </c>
      <c r="Q275" t="n">
        <v>0</v>
      </c>
      <c r="R275" t="n">
        <v>0</v>
      </c>
      <c r="S275" t="n">
        <v>0</v>
      </c>
      <c r="T275" t="n">
        <v>0</v>
      </c>
      <c r="U275" s="2" t="inlineStr"/>
    </row>
    <row r="276" ht="15" customHeight="1">
      <c r="A276" t="inlineStr">
        <is>
          <t>A 1892-2026</t>
        </is>
      </c>
      <c r="B276" t="inlineStr">
        <is>
          <t>avverkningsanmälan</t>
        </is>
      </c>
      <c r="C276" t="inlineStr">
        <is>
          <t>Föryngringsavverkning</t>
        </is>
      </c>
      <c r="D276" s="1" t="n">
        <v>46035</v>
      </c>
      <c r="E276" s="1" t="n">
        <v>46218</v>
      </c>
      <c r="F276" t="inlineStr">
        <is>
          <t>SÖDERMANLANDS LÄN</t>
        </is>
      </c>
      <c r="G276" t="inlineStr">
        <is>
          <t>STRÄNGNÄS</t>
        </is>
      </c>
      <c r="I276" t="n">
        <v>7.2</v>
      </c>
      <c r="J276" t="n">
        <v>0</v>
      </c>
      <c r="K276" t="n">
        <v>0</v>
      </c>
      <c r="L276" t="n">
        <v>0</v>
      </c>
      <c r="M276" t="n">
        <v>0</v>
      </c>
      <c r="N276" t="n">
        <v>0</v>
      </c>
      <c r="O276" t="n">
        <v>0</v>
      </c>
      <c r="P276" t="n">
        <v>0</v>
      </c>
      <c r="Q276" t="n">
        <v>0</v>
      </c>
      <c r="R276" t="n">
        <v>0</v>
      </c>
      <c r="S276" t="n">
        <v>0</v>
      </c>
      <c r="T276" t="n">
        <v>0</v>
      </c>
      <c r="U276" s="2" t="inlineStr"/>
    </row>
    <row r="277" ht="15" customHeight="1">
      <c r="A277" t="inlineStr">
        <is>
          <t>A 1511-2026</t>
        </is>
      </c>
      <c r="B277" t="inlineStr">
        <is>
          <t>avverkningsanmälan</t>
        </is>
      </c>
      <c r="C277" t="inlineStr">
        <is>
          <t>Föryngringsavverkning</t>
        </is>
      </c>
      <c r="D277" s="1" t="n">
        <v>46034</v>
      </c>
      <c r="E277" s="1" t="n">
        <v>46218</v>
      </c>
      <c r="F277" t="inlineStr">
        <is>
          <t>SÖDERMANLANDS LÄN</t>
        </is>
      </c>
      <c r="G277" t="inlineStr">
        <is>
          <t>STRÄNGNÄS</t>
        </is>
      </c>
      <c r="I277" t="n">
        <v>2.7</v>
      </c>
      <c r="J277" t="n">
        <v>0</v>
      </c>
      <c r="K277" t="n">
        <v>0</v>
      </c>
      <c r="L277" t="n">
        <v>0</v>
      </c>
      <c r="M277" t="n">
        <v>0</v>
      </c>
      <c r="N277" t="n">
        <v>0</v>
      </c>
      <c r="O277" t="n">
        <v>0</v>
      </c>
      <c r="P277" t="n">
        <v>0</v>
      </c>
      <c r="Q277" t="n">
        <v>0</v>
      </c>
      <c r="R277" t="n">
        <v>0</v>
      </c>
      <c r="S277" t="n">
        <v>0</v>
      </c>
      <c r="T277" t="n">
        <v>0</v>
      </c>
      <c r="U277" s="2" t="inlineStr"/>
    </row>
    <row r="278" ht="15" customHeight="1">
      <c r="A278" t="inlineStr">
        <is>
          <t>A 1553-2026</t>
        </is>
      </c>
      <c r="B278" t="inlineStr">
        <is>
          <t>avverkningsanmälan</t>
        </is>
      </c>
      <c r="C278" t="inlineStr">
        <is>
          <t>Föryngringsavverkning</t>
        </is>
      </c>
      <c r="D278" s="1" t="n">
        <v>46034</v>
      </c>
      <c r="E278" s="1" t="n">
        <v>46218</v>
      </c>
      <c r="F278" t="inlineStr">
        <is>
          <t>SÖDERMANLANDS LÄN</t>
        </is>
      </c>
      <c r="G278" t="inlineStr">
        <is>
          <t>STRÄNGNÄS</t>
        </is>
      </c>
      <c r="I278" t="n">
        <v>3.3</v>
      </c>
      <c r="J278" t="n">
        <v>0</v>
      </c>
      <c r="K278" t="n">
        <v>0</v>
      </c>
      <c r="L278" t="n">
        <v>0</v>
      </c>
      <c r="M278" t="n">
        <v>0</v>
      </c>
      <c r="N278" t="n">
        <v>0</v>
      </c>
      <c r="O278" t="n">
        <v>0</v>
      </c>
      <c r="P278" t="n">
        <v>0</v>
      </c>
      <c r="Q278" t="n">
        <v>0</v>
      </c>
      <c r="R278" t="n">
        <v>0</v>
      </c>
      <c r="S278" t="n">
        <v>0</v>
      </c>
      <c r="T278" t="n">
        <v>0</v>
      </c>
      <c r="U278" s="2" t="inlineStr"/>
    </row>
    <row r="279" ht="15" customHeight="1">
      <c r="A279" t="inlineStr">
        <is>
          <t>A 2007-2026</t>
        </is>
      </c>
      <c r="B279" t="inlineStr">
        <is>
          <t>avverkningsanmälan</t>
        </is>
      </c>
      <c r="C279" t="inlineStr">
        <is>
          <t>Föryngringsavverkning</t>
        </is>
      </c>
      <c r="D279" s="1" t="n">
        <v>46035</v>
      </c>
      <c r="E279" s="1" t="n">
        <v>46218</v>
      </c>
      <c r="F279" t="inlineStr">
        <is>
          <t>SÖDERMANLANDS LÄN</t>
        </is>
      </c>
      <c r="G279" t="inlineStr">
        <is>
          <t>STRÄNGNÄS</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1757-2026</t>
        </is>
      </c>
      <c r="B280" t="inlineStr">
        <is>
          <t>avverkningsanmälan</t>
        </is>
      </c>
      <c r="C280" t="inlineStr">
        <is>
          <t>Föryngringsavverkning</t>
        </is>
      </c>
      <c r="D280" s="1" t="n">
        <v>46034</v>
      </c>
      <c r="E280" s="1" t="n">
        <v>46218</v>
      </c>
      <c r="F280" t="inlineStr">
        <is>
          <t>SÖDERMANLANDS LÄN</t>
        </is>
      </c>
      <c r="G280" t="inlineStr">
        <is>
          <t>STRÄNGNÄS</t>
        </is>
      </c>
      <c r="I280" t="n">
        <v>2.5</v>
      </c>
      <c r="J280" t="n">
        <v>0</v>
      </c>
      <c r="K280" t="n">
        <v>0</v>
      </c>
      <c r="L280" t="n">
        <v>0</v>
      </c>
      <c r="M280" t="n">
        <v>0</v>
      </c>
      <c r="N280" t="n">
        <v>0</v>
      </c>
      <c r="O280" t="n">
        <v>0</v>
      </c>
      <c r="P280" t="n">
        <v>0</v>
      </c>
      <c r="Q280" t="n">
        <v>0</v>
      </c>
      <c r="R280" t="n">
        <v>0</v>
      </c>
      <c r="S280" t="n">
        <v>0</v>
      </c>
      <c r="T280" t="n">
        <v>0</v>
      </c>
      <c r="U280" s="2" t="inlineStr"/>
    </row>
    <row r="281" ht="15" customHeight="1">
      <c r="A281" t="inlineStr">
        <is>
          <t>A 1624-2026</t>
        </is>
      </c>
      <c r="B281" t="inlineStr">
        <is>
          <t>avverkningsanmälan</t>
        </is>
      </c>
      <c r="C281" t="inlineStr">
        <is>
          <t>Föryngringsavverkning</t>
        </is>
      </c>
      <c r="D281" s="1" t="n">
        <v>46034</v>
      </c>
      <c r="E281" s="1" t="n">
        <v>46218</v>
      </c>
      <c r="F281" t="inlineStr">
        <is>
          <t>SÖDERMANLANDS LÄN</t>
        </is>
      </c>
      <c r="G281" t="inlineStr">
        <is>
          <t>STRÄNGNÄS</t>
        </is>
      </c>
      <c r="I281" t="n">
        <v>3.8</v>
      </c>
      <c r="J281" t="n">
        <v>0</v>
      </c>
      <c r="K281" t="n">
        <v>0</v>
      </c>
      <c r="L281" t="n">
        <v>0</v>
      </c>
      <c r="M281" t="n">
        <v>0</v>
      </c>
      <c r="N281" t="n">
        <v>0</v>
      </c>
      <c r="O281" t="n">
        <v>0</v>
      </c>
      <c r="P281" t="n">
        <v>0</v>
      </c>
      <c r="Q281" t="n">
        <v>0</v>
      </c>
      <c r="R281" t="n">
        <v>0</v>
      </c>
      <c r="S281" t="n">
        <v>0</v>
      </c>
      <c r="T281" t="n">
        <v>0</v>
      </c>
      <c r="U281" s="2" t="inlineStr"/>
    </row>
    <row r="282" ht="15" customHeight="1">
      <c r="A282" t="inlineStr">
        <is>
          <t>A 1744-2026</t>
        </is>
      </c>
      <c r="B282" t="inlineStr">
        <is>
          <t>avverkningsanmälan</t>
        </is>
      </c>
      <c r="C282" t="inlineStr">
        <is>
          <t>Föryngringsavverkning</t>
        </is>
      </c>
      <c r="D282" s="1" t="n">
        <v>46034</v>
      </c>
      <c r="E282" s="1" t="n">
        <v>46218</v>
      </c>
      <c r="F282" t="inlineStr">
        <is>
          <t>SÖDERMANLANDS LÄN</t>
        </is>
      </c>
      <c r="G282" t="inlineStr">
        <is>
          <t>STRÄNGNÄS</t>
        </is>
      </c>
      <c r="I282" t="n">
        <v>3</v>
      </c>
      <c r="J282" t="n">
        <v>0</v>
      </c>
      <c r="K282" t="n">
        <v>0</v>
      </c>
      <c r="L282" t="n">
        <v>0</v>
      </c>
      <c r="M282" t="n">
        <v>0</v>
      </c>
      <c r="N282" t="n">
        <v>0</v>
      </c>
      <c r="O282" t="n">
        <v>0</v>
      </c>
      <c r="P282" t="n">
        <v>0</v>
      </c>
      <c r="Q282" t="n">
        <v>0</v>
      </c>
      <c r="R282" t="n">
        <v>0</v>
      </c>
      <c r="S282" t="n">
        <v>0</v>
      </c>
      <c r="T282" t="n">
        <v>0</v>
      </c>
      <c r="U282" s="2" t="inlineStr"/>
    </row>
    <row r="283" ht="15" customHeight="1">
      <c r="A283" t="inlineStr">
        <is>
          <t>A 1660-2026</t>
        </is>
      </c>
      <c r="B283" t="inlineStr">
        <is>
          <t>avverkningsanmälan</t>
        </is>
      </c>
      <c r="C283" t="inlineStr">
        <is>
          <t>Föryngringsavverkning</t>
        </is>
      </c>
      <c r="D283" s="1" t="n">
        <v>46034</v>
      </c>
      <c r="E283" s="1" t="n">
        <v>46218</v>
      </c>
      <c r="F283" t="inlineStr">
        <is>
          <t>SÖDERMANLANDS LÄN</t>
        </is>
      </c>
      <c r="G283" t="inlineStr">
        <is>
          <t>STRÄNGNÄS</t>
        </is>
      </c>
      <c r="I283" t="n">
        <v>4.4</v>
      </c>
      <c r="J283" t="n">
        <v>0</v>
      </c>
      <c r="K283" t="n">
        <v>0</v>
      </c>
      <c r="L283" t="n">
        <v>0</v>
      </c>
      <c r="M283" t="n">
        <v>0</v>
      </c>
      <c r="N283" t="n">
        <v>0</v>
      </c>
      <c r="O283" t="n">
        <v>0</v>
      </c>
      <c r="P283" t="n">
        <v>0</v>
      </c>
      <c r="Q283" t="n">
        <v>0</v>
      </c>
      <c r="R283" t="n">
        <v>0</v>
      </c>
      <c r="S283" t="n">
        <v>0</v>
      </c>
      <c r="T283" t="n">
        <v>0</v>
      </c>
      <c r="U283" s="2" t="inlineStr"/>
    </row>
    <row r="284" ht="15" customHeight="1">
      <c r="A284" t="inlineStr">
        <is>
          <t>A 1915-2026</t>
        </is>
      </c>
      <c r="B284" t="inlineStr">
        <is>
          <t>avverkningsanmälan</t>
        </is>
      </c>
      <c r="C284" t="inlineStr">
        <is>
          <t>Föryngringsavverkning</t>
        </is>
      </c>
      <c r="D284" s="1" t="n">
        <v>46035</v>
      </c>
      <c r="E284" s="1" t="n">
        <v>46218</v>
      </c>
      <c r="F284" t="inlineStr">
        <is>
          <t>SÖDERMANLANDS LÄN</t>
        </is>
      </c>
      <c r="G284" t="inlineStr">
        <is>
          <t>STRÄNGNÄS</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1496-2026</t>
        </is>
      </c>
      <c r="B285" t="inlineStr">
        <is>
          <t>avverkningsanmälan</t>
        </is>
      </c>
      <c r="C285" t="inlineStr">
        <is>
          <t>Föryngringsavverkning</t>
        </is>
      </c>
      <c r="D285" s="1" t="n">
        <v>46034</v>
      </c>
      <c r="E285" s="1" t="n">
        <v>46218</v>
      </c>
      <c r="F285" t="inlineStr">
        <is>
          <t>SÖDERMANLANDS LÄN</t>
        </is>
      </c>
      <c r="G285" t="inlineStr">
        <is>
          <t>STRÄNGNÄS</t>
        </is>
      </c>
      <c r="I285" t="n">
        <v>6.2</v>
      </c>
      <c r="J285" t="n">
        <v>0</v>
      </c>
      <c r="K285" t="n">
        <v>0</v>
      </c>
      <c r="L285" t="n">
        <v>0</v>
      </c>
      <c r="M285" t="n">
        <v>0</v>
      </c>
      <c r="N285" t="n">
        <v>0</v>
      </c>
      <c r="O285" t="n">
        <v>0</v>
      </c>
      <c r="P285" t="n">
        <v>0</v>
      </c>
      <c r="Q285" t="n">
        <v>0</v>
      </c>
      <c r="R285" t="n">
        <v>0</v>
      </c>
      <c r="S285" t="n">
        <v>0</v>
      </c>
      <c r="T285" t="n">
        <v>0</v>
      </c>
      <c r="U285" s="2" t="inlineStr"/>
    </row>
    <row r="286" ht="15" customHeight="1">
      <c r="A286" t="inlineStr">
        <is>
          <t>A 2636-2026</t>
        </is>
      </c>
      <c r="B286" t="inlineStr">
        <is>
          <t>avverkningsanmälan</t>
        </is>
      </c>
      <c r="C286" t="inlineStr">
        <is>
          <t>Föryngringsavverkning</t>
        </is>
      </c>
      <c r="D286" s="1" t="n">
        <v>46037</v>
      </c>
      <c r="E286" s="1" t="n">
        <v>46218</v>
      </c>
      <c r="F286" t="inlineStr">
        <is>
          <t>SÖDERMANLANDS LÄN</t>
        </is>
      </c>
      <c r="G286" t="inlineStr">
        <is>
          <t>STRÄNGNÄS</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9625-2022</t>
        </is>
      </c>
      <c r="B287" t="inlineStr">
        <is>
          <t>avverkningsanmälan</t>
        </is>
      </c>
      <c r="C287" t="inlineStr">
        <is>
          <t>Föryngringsavverkning</t>
        </is>
      </c>
      <c r="D287" s="1" t="n">
        <v>44617</v>
      </c>
      <c r="E287" s="1" t="n">
        <v>46218</v>
      </c>
      <c r="F287" t="inlineStr">
        <is>
          <t>SÖDERMANLANDS LÄN</t>
        </is>
      </c>
      <c r="G287" t="inlineStr">
        <is>
          <t>STRÄNGNÄS</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32552-2023</t>
        </is>
      </c>
      <c r="B288" t="inlineStr">
        <is>
          <t>avverkningsanmälan</t>
        </is>
      </c>
      <c r="C288" t="inlineStr">
        <is>
          <t>Föryngringsavverkning</t>
        </is>
      </c>
      <c r="D288" s="1" t="n">
        <v>45121</v>
      </c>
      <c r="E288" s="1" t="n">
        <v>46218</v>
      </c>
      <c r="F288" t="inlineStr">
        <is>
          <t>SÖDERMANLANDS LÄN</t>
        </is>
      </c>
      <c r="G288" t="inlineStr">
        <is>
          <t>STRÄNGNÄS</t>
        </is>
      </c>
      <c r="I288" t="n">
        <v>2.4</v>
      </c>
      <c r="J288" t="n">
        <v>0</v>
      </c>
      <c r="K288" t="n">
        <v>0</v>
      </c>
      <c r="L288" t="n">
        <v>0</v>
      </c>
      <c r="M288" t="n">
        <v>0</v>
      </c>
      <c r="N288" t="n">
        <v>0</v>
      </c>
      <c r="O288" t="n">
        <v>0</v>
      </c>
      <c r="P288" t="n">
        <v>0</v>
      </c>
      <c r="Q288" t="n">
        <v>0</v>
      </c>
      <c r="R288" t="n">
        <v>0</v>
      </c>
      <c r="S288" t="n">
        <v>0</v>
      </c>
      <c r="T288" t="n">
        <v>0</v>
      </c>
      <c r="U288" s="2" t="inlineStr"/>
    </row>
    <row r="289" ht="15" customHeight="1">
      <c r="A289" t="inlineStr">
        <is>
          <t>A 2368-2026</t>
        </is>
      </c>
      <c r="B289" t="inlineStr">
        <is>
          <t>avverkningsanmälan</t>
        </is>
      </c>
      <c r="C289" t="inlineStr">
        <is>
          <t>Föryngringsavverkning</t>
        </is>
      </c>
      <c r="D289" s="1" t="n">
        <v>46036</v>
      </c>
      <c r="E289" s="1" t="n">
        <v>46218</v>
      </c>
      <c r="F289" t="inlineStr">
        <is>
          <t>SÖDERMANLANDS LÄN</t>
        </is>
      </c>
      <c r="G289" t="inlineStr">
        <is>
          <t>STRÄNGNÄS</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2256-2026</t>
        </is>
      </c>
      <c r="B290" t="inlineStr">
        <is>
          <t>avverkningsanmälan</t>
        </is>
      </c>
      <c r="C290" t="inlineStr">
        <is>
          <t>Föryngringsavverkning</t>
        </is>
      </c>
      <c r="D290" s="1" t="n">
        <v>46036</v>
      </c>
      <c r="E290" s="1" t="n">
        <v>46218</v>
      </c>
      <c r="F290" t="inlineStr">
        <is>
          <t>SÖDERMANLANDS LÄN</t>
        </is>
      </c>
      <c r="G290" t="inlineStr">
        <is>
          <t>STRÄNGNÄS</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2328-2026</t>
        </is>
      </c>
      <c r="B291" t="inlineStr">
        <is>
          <t>avverkningsanmälan</t>
        </is>
      </c>
      <c r="C291" t="inlineStr">
        <is>
          <t>Föryngringsavverkning</t>
        </is>
      </c>
      <c r="D291" s="1" t="n">
        <v>46036</v>
      </c>
      <c r="E291" s="1" t="n">
        <v>46218</v>
      </c>
      <c r="F291" t="inlineStr">
        <is>
          <t>SÖDERMANLANDS LÄN</t>
        </is>
      </c>
      <c r="G291" t="inlineStr">
        <is>
          <t>STRÄNGNÄS</t>
        </is>
      </c>
      <c r="I291" t="n">
        <v>5.2</v>
      </c>
      <c r="J291" t="n">
        <v>0</v>
      </c>
      <c r="K291" t="n">
        <v>0</v>
      </c>
      <c r="L291" t="n">
        <v>0</v>
      </c>
      <c r="M291" t="n">
        <v>0</v>
      </c>
      <c r="N291" t="n">
        <v>0</v>
      </c>
      <c r="O291" t="n">
        <v>0</v>
      </c>
      <c r="P291" t="n">
        <v>0</v>
      </c>
      <c r="Q291" t="n">
        <v>0</v>
      </c>
      <c r="R291" t="n">
        <v>0</v>
      </c>
      <c r="S291" t="n">
        <v>0</v>
      </c>
      <c r="T291" t="n">
        <v>0</v>
      </c>
      <c r="U291" s="2" t="inlineStr"/>
    </row>
    <row r="292" ht="15" customHeight="1">
      <c r="A292" t="inlineStr">
        <is>
          <t>A 2268-2026</t>
        </is>
      </c>
      <c r="B292" t="inlineStr">
        <is>
          <t>avverkningsanmälan</t>
        </is>
      </c>
      <c r="C292" t="inlineStr">
        <is>
          <t>Föryngringsavverkning</t>
        </is>
      </c>
      <c r="D292" s="1" t="n">
        <v>46036</v>
      </c>
      <c r="E292" s="1" t="n">
        <v>46218</v>
      </c>
      <c r="F292" t="inlineStr">
        <is>
          <t>SÖDERMANLANDS LÄN</t>
        </is>
      </c>
      <c r="G292" t="inlineStr">
        <is>
          <t>STRÄNGNÄS</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2302-2026</t>
        </is>
      </c>
      <c r="B293" t="inlineStr">
        <is>
          <t>avverkningsanmälan</t>
        </is>
      </c>
      <c r="C293" t="inlineStr">
        <is>
          <t>Föryngringsavverkning</t>
        </is>
      </c>
      <c r="D293" s="1" t="n">
        <v>46036</v>
      </c>
      <c r="E293" s="1" t="n">
        <v>46218</v>
      </c>
      <c r="F293" t="inlineStr">
        <is>
          <t>SÖDERMANLANDS LÄN</t>
        </is>
      </c>
      <c r="G293" t="inlineStr">
        <is>
          <t>STRÄNGNÄS</t>
        </is>
      </c>
      <c r="I293" t="n">
        <v>4.3</v>
      </c>
      <c r="J293" t="n">
        <v>0</v>
      </c>
      <c r="K293" t="n">
        <v>0</v>
      </c>
      <c r="L293" t="n">
        <v>0</v>
      </c>
      <c r="M293" t="n">
        <v>0</v>
      </c>
      <c r="N293" t="n">
        <v>0</v>
      </c>
      <c r="O293" t="n">
        <v>0</v>
      </c>
      <c r="P293" t="n">
        <v>0</v>
      </c>
      <c r="Q293" t="n">
        <v>0</v>
      </c>
      <c r="R293" t="n">
        <v>0</v>
      </c>
      <c r="S293" t="n">
        <v>0</v>
      </c>
      <c r="T293" t="n">
        <v>0</v>
      </c>
      <c r="U293" s="2" t="inlineStr"/>
    </row>
    <row r="294" ht="15" customHeight="1">
      <c r="A294" t="inlineStr">
        <is>
          <t>A 61656-2023</t>
        </is>
      </c>
      <c r="B294" t="inlineStr">
        <is>
          <t>avverkningsanmälan</t>
        </is>
      </c>
      <c r="C294" t="inlineStr">
        <is>
          <t>Föryngringsavverkning</t>
        </is>
      </c>
      <c r="D294" s="1" t="n">
        <v>45265</v>
      </c>
      <c r="E294" s="1" t="n">
        <v>46218</v>
      </c>
      <c r="F294" t="inlineStr">
        <is>
          <t>SÖDERMANLANDS LÄN</t>
        </is>
      </c>
      <c r="G294" t="inlineStr">
        <is>
          <t>STRÄNGNÄS</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3127-2026</t>
        </is>
      </c>
      <c r="B295" t="inlineStr">
        <is>
          <t>avverkningsanmälan</t>
        </is>
      </c>
      <c r="C295" t="inlineStr">
        <is>
          <t>Föryngringsavverkning</t>
        </is>
      </c>
      <c r="D295" s="1" t="n">
        <v>46041</v>
      </c>
      <c r="E295" s="1" t="n">
        <v>46218</v>
      </c>
      <c r="F295" t="inlineStr">
        <is>
          <t>SÖDERMANLANDS LÄN</t>
        </is>
      </c>
      <c r="G295" t="inlineStr">
        <is>
          <t>STRÄNGNÄS</t>
        </is>
      </c>
      <c r="I295" t="n">
        <v>3.3</v>
      </c>
      <c r="J295" t="n">
        <v>0</v>
      </c>
      <c r="K295" t="n">
        <v>0</v>
      </c>
      <c r="L295" t="n">
        <v>0</v>
      </c>
      <c r="M295" t="n">
        <v>0</v>
      </c>
      <c r="N295" t="n">
        <v>0</v>
      </c>
      <c r="O295" t="n">
        <v>0</v>
      </c>
      <c r="P295" t="n">
        <v>0</v>
      </c>
      <c r="Q295" t="n">
        <v>0</v>
      </c>
      <c r="R295" t="n">
        <v>0</v>
      </c>
      <c r="S295" t="n">
        <v>0</v>
      </c>
      <c r="T295" t="n">
        <v>0</v>
      </c>
      <c r="U295" s="2" t="inlineStr"/>
    </row>
    <row r="296" ht="15" customHeight="1">
      <c r="A296" t="inlineStr">
        <is>
          <t>A 3207-2026</t>
        </is>
      </c>
      <c r="B296" t="inlineStr">
        <is>
          <t>avverkningsanmälan</t>
        </is>
      </c>
      <c r="C296" t="inlineStr">
        <is>
          <t>Föryngringsavverkning</t>
        </is>
      </c>
      <c r="D296" s="1" t="n">
        <v>46041</v>
      </c>
      <c r="E296" s="1" t="n">
        <v>46218</v>
      </c>
      <c r="F296" t="inlineStr">
        <is>
          <t>SÖDERMANLANDS LÄN</t>
        </is>
      </c>
      <c r="G296" t="inlineStr">
        <is>
          <t>STRÄNGNÄS</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57484-2025</t>
        </is>
      </c>
      <c r="B297" t="inlineStr">
        <is>
          <t>avverkningsanmälan</t>
        </is>
      </c>
      <c r="C297" t="inlineStr">
        <is>
          <t>Avverkning för annat ändamål</t>
        </is>
      </c>
      <c r="D297" s="1" t="n">
        <v>45980</v>
      </c>
      <c r="E297" s="1" t="n">
        <v>46218</v>
      </c>
      <c r="F297" t="inlineStr">
        <is>
          <t>SÖDERMANLANDS LÄN</t>
        </is>
      </c>
      <c r="G297" t="inlineStr">
        <is>
          <t>STRÄNGNÄS</t>
        </is>
      </c>
      <c r="I297" t="n">
        <v>2.2</v>
      </c>
      <c r="J297" t="n">
        <v>0</v>
      </c>
      <c r="K297" t="n">
        <v>0</v>
      </c>
      <c r="L297" t="n">
        <v>0</v>
      </c>
      <c r="M297" t="n">
        <v>0</v>
      </c>
      <c r="N297" t="n">
        <v>0</v>
      </c>
      <c r="O297" t="n">
        <v>0</v>
      </c>
      <c r="P297" t="n">
        <v>0</v>
      </c>
      <c r="Q297" t="n">
        <v>0</v>
      </c>
      <c r="R297" t="n">
        <v>0</v>
      </c>
      <c r="S297" t="n">
        <v>0</v>
      </c>
      <c r="T297" t="n">
        <v>0</v>
      </c>
      <c r="U297" s="2" t="inlineStr"/>
    </row>
    <row r="298" ht="15" customHeight="1">
      <c r="A298" t="inlineStr">
        <is>
          <t>A 58022-2022</t>
        </is>
      </c>
      <c r="B298" t="inlineStr">
        <is>
          <t>avverkningsanmälan</t>
        </is>
      </c>
      <c r="C298" t="inlineStr">
        <is>
          <t>Föryngringsavverkning</t>
        </is>
      </c>
      <c r="D298" s="1" t="n">
        <v>44900</v>
      </c>
      <c r="E298" s="1" t="n">
        <v>46218</v>
      </c>
      <c r="F298" t="inlineStr">
        <is>
          <t>SÖDERMANLANDS LÄN</t>
        </is>
      </c>
      <c r="G298" t="inlineStr">
        <is>
          <t>STRÄNGNÄS</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65151-2023</t>
        </is>
      </c>
      <c r="B299" t="inlineStr">
        <is>
          <t>avverkningsanmälan</t>
        </is>
      </c>
      <c r="C299" t="inlineStr">
        <is>
          <t>Föryngringsavverkning</t>
        </is>
      </c>
      <c r="D299" s="1" t="n">
        <v>45288</v>
      </c>
      <c r="E299" s="1" t="n">
        <v>46218</v>
      </c>
      <c r="F299" t="inlineStr">
        <is>
          <t>SÖDERMANLANDS LÄN</t>
        </is>
      </c>
      <c r="G299" t="inlineStr">
        <is>
          <t>STRÄNGNÄS</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4320-2023</t>
        </is>
      </c>
      <c r="B300" t="inlineStr">
        <is>
          <t>avverkningsanmälan</t>
        </is>
      </c>
      <c r="C300" t="inlineStr">
        <is>
          <t>Föryngringsavverkning</t>
        </is>
      </c>
      <c r="D300" s="1" t="n">
        <v>44953</v>
      </c>
      <c r="E300" s="1" t="n">
        <v>46218</v>
      </c>
      <c r="F300" t="inlineStr">
        <is>
          <t>SÖDERMANLANDS LÄN</t>
        </is>
      </c>
      <c r="G300" t="inlineStr">
        <is>
          <t>STRÄNGNÄS</t>
        </is>
      </c>
      <c r="H300" t="inlineStr">
        <is>
          <t>Allmännings- och besparingsskogar</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4151-2026</t>
        </is>
      </c>
      <c r="B301" t="inlineStr">
        <is>
          <t>avverkningsanmälan</t>
        </is>
      </c>
      <c r="C301" t="inlineStr">
        <is>
          <t>Föryngringsavverkning</t>
        </is>
      </c>
      <c r="D301" s="1" t="n">
        <v>46044</v>
      </c>
      <c r="E301" s="1" t="n">
        <v>46218</v>
      </c>
      <c r="F301" t="inlineStr">
        <is>
          <t>SÖDERMANLANDS LÄN</t>
        </is>
      </c>
      <c r="G301" t="inlineStr">
        <is>
          <t>STRÄNGNÄS</t>
        </is>
      </c>
      <c r="I301" t="n">
        <v>4.6</v>
      </c>
      <c r="J301" t="n">
        <v>0</v>
      </c>
      <c r="K301" t="n">
        <v>0</v>
      </c>
      <c r="L301" t="n">
        <v>0</v>
      </c>
      <c r="M301" t="n">
        <v>0</v>
      </c>
      <c r="N301" t="n">
        <v>0</v>
      </c>
      <c r="O301" t="n">
        <v>0</v>
      </c>
      <c r="P301" t="n">
        <v>0</v>
      </c>
      <c r="Q301" t="n">
        <v>0</v>
      </c>
      <c r="R301" t="n">
        <v>0</v>
      </c>
      <c r="S301" t="n">
        <v>0</v>
      </c>
      <c r="T301" t="n">
        <v>0</v>
      </c>
      <c r="U301" s="2" t="inlineStr"/>
    </row>
    <row r="302" ht="15" customHeight="1">
      <c r="A302" t="inlineStr">
        <is>
          <t>A 20167-2023</t>
        </is>
      </c>
      <c r="B302" t="inlineStr">
        <is>
          <t>avverkningsanmälan</t>
        </is>
      </c>
      <c r="C302" t="inlineStr">
        <is>
          <t>Föryngringsavverkning</t>
        </is>
      </c>
      <c r="D302" s="1" t="n">
        <v>45051</v>
      </c>
      <c r="E302" s="1" t="n">
        <v>46218</v>
      </c>
      <c r="F302" t="inlineStr">
        <is>
          <t>SÖDERMANLANDS LÄN</t>
        </is>
      </c>
      <c r="G302" t="inlineStr">
        <is>
          <t>STRÄNGNÄS</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4112-2026</t>
        </is>
      </c>
      <c r="B303" t="inlineStr">
        <is>
          <t>avverkningsanmälan</t>
        </is>
      </c>
      <c r="C303" t="inlineStr">
        <is>
          <t>Föryngringsavverkning</t>
        </is>
      </c>
      <c r="D303" s="1" t="n">
        <v>46044</v>
      </c>
      <c r="E303" s="1" t="n">
        <v>46218</v>
      </c>
      <c r="F303" t="inlineStr">
        <is>
          <t>SÖDERMANLANDS LÄN</t>
        </is>
      </c>
      <c r="G303" t="inlineStr">
        <is>
          <t>STRÄNGNÄS</t>
        </is>
      </c>
      <c r="I303" t="n">
        <v>3.8</v>
      </c>
      <c r="J303" t="n">
        <v>0</v>
      </c>
      <c r="K303" t="n">
        <v>0</v>
      </c>
      <c r="L303" t="n">
        <v>0</v>
      </c>
      <c r="M303" t="n">
        <v>0</v>
      </c>
      <c r="N303" t="n">
        <v>0</v>
      </c>
      <c r="O303" t="n">
        <v>0</v>
      </c>
      <c r="P303" t="n">
        <v>0</v>
      </c>
      <c r="Q303" t="n">
        <v>0</v>
      </c>
      <c r="R303" t="n">
        <v>0</v>
      </c>
      <c r="S303" t="n">
        <v>0</v>
      </c>
      <c r="T303" t="n">
        <v>0</v>
      </c>
      <c r="U303" s="2" t="inlineStr"/>
    </row>
    <row r="304" ht="15" customHeight="1">
      <c r="A304" t="inlineStr">
        <is>
          <t>A 3971-2026</t>
        </is>
      </c>
      <c r="B304" t="inlineStr">
        <is>
          <t>avverkningsanmälan</t>
        </is>
      </c>
      <c r="C304" t="inlineStr">
        <is>
          <t>Föryngringsavverkning</t>
        </is>
      </c>
      <c r="D304" s="1" t="n">
        <v>46044</v>
      </c>
      <c r="E304" s="1" t="n">
        <v>46218</v>
      </c>
      <c r="F304" t="inlineStr">
        <is>
          <t>SÖDERMANLANDS LÄN</t>
        </is>
      </c>
      <c r="G304" t="inlineStr">
        <is>
          <t>STRÄNGNÄS</t>
        </is>
      </c>
      <c r="I304" t="n">
        <v>6.8</v>
      </c>
      <c r="J304" t="n">
        <v>0</v>
      </c>
      <c r="K304" t="n">
        <v>0</v>
      </c>
      <c r="L304" t="n">
        <v>0</v>
      </c>
      <c r="M304" t="n">
        <v>0</v>
      </c>
      <c r="N304" t="n">
        <v>0</v>
      </c>
      <c r="O304" t="n">
        <v>0</v>
      </c>
      <c r="P304" t="n">
        <v>0</v>
      </c>
      <c r="Q304" t="n">
        <v>0</v>
      </c>
      <c r="R304" t="n">
        <v>0</v>
      </c>
      <c r="S304" t="n">
        <v>0</v>
      </c>
      <c r="T304" t="n">
        <v>0</v>
      </c>
      <c r="U304" s="2" t="inlineStr"/>
    </row>
    <row r="305" ht="15" customHeight="1">
      <c r="A305" t="inlineStr">
        <is>
          <t>A 1977-2026</t>
        </is>
      </c>
      <c r="B305" t="inlineStr">
        <is>
          <t>avverkningsanmälan</t>
        </is>
      </c>
      <c r="C305" t="inlineStr">
        <is>
          <t>Föryngringsavverkning</t>
        </is>
      </c>
      <c r="D305" s="1" t="n">
        <v>46035</v>
      </c>
      <c r="E305" s="1" t="n">
        <v>46218</v>
      </c>
      <c r="F305" t="inlineStr">
        <is>
          <t>SÖDERMANLANDS LÄN</t>
        </is>
      </c>
      <c r="G305" t="inlineStr">
        <is>
          <t>STRÄNGNÄS</t>
        </is>
      </c>
      <c r="I305" t="n">
        <v>8</v>
      </c>
      <c r="J305" t="n">
        <v>0</v>
      </c>
      <c r="K305" t="n">
        <v>0</v>
      </c>
      <c r="L305" t="n">
        <v>0</v>
      </c>
      <c r="M305" t="n">
        <v>0</v>
      </c>
      <c r="N305" t="n">
        <v>0</v>
      </c>
      <c r="O305" t="n">
        <v>0</v>
      </c>
      <c r="P305" t="n">
        <v>0</v>
      </c>
      <c r="Q305" t="n">
        <v>0</v>
      </c>
      <c r="R305" t="n">
        <v>0</v>
      </c>
      <c r="S305" t="n">
        <v>0</v>
      </c>
      <c r="T305" t="n">
        <v>0</v>
      </c>
      <c r="U305" s="2" t="inlineStr"/>
    </row>
    <row r="306" ht="15" customHeight="1">
      <c r="A306" t="inlineStr">
        <is>
          <t>A 12619-2025</t>
        </is>
      </c>
      <c r="B306" t="inlineStr">
        <is>
          <t>avverkningsanmälan</t>
        </is>
      </c>
      <c r="C306" t="inlineStr">
        <is>
          <t>Föryngringsavverkning</t>
        </is>
      </c>
      <c r="D306" s="1" t="n">
        <v>45733</v>
      </c>
      <c r="E306" s="1" t="n">
        <v>46218</v>
      </c>
      <c r="F306" t="inlineStr">
        <is>
          <t>SÖDERMANLANDS LÄN</t>
        </is>
      </c>
      <c r="G306" t="inlineStr">
        <is>
          <t>STRÄNGNÄS</t>
        </is>
      </c>
      <c r="I306" t="n">
        <v>2</v>
      </c>
      <c r="J306" t="n">
        <v>0</v>
      </c>
      <c r="K306" t="n">
        <v>0</v>
      </c>
      <c r="L306" t="n">
        <v>0</v>
      </c>
      <c r="M306" t="n">
        <v>0</v>
      </c>
      <c r="N306" t="n">
        <v>0</v>
      </c>
      <c r="O306" t="n">
        <v>0</v>
      </c>
      <c r="P306" t="n">
        <v>0</v>
      </c>
      <c r="Q306" t="n">
        <v>0</v>
      </c>
      <c r="R306" t="n">
        <v>0</v>
      </c>
      <c r="S306" t="n">
        <v>0</v>
      </c>
      <c r="T306" t="n">
        <v>0</v>
      </c>
      <c r="U306" s="2" t="inlineStr"/>
    </row>
    <row r="307" ht="15" customHeight="1">
      <c r="A307" t="inlineStr">
        <is>
          <t>A 48827-2023</t>
        </is>
      </c>
      <c r="B307" t="inlineStr">
        <is>
          <t>avverkningsanmälan</t>
        </is>
      </c>
      <c r="C307" t="inlineStr">
        <is>
          <t>Föryngringsavverkning</t>
        </is>
      </c>
      <c r="D307" s="1" t="n">
        <v>45204</v>
      </c>
      <c r="E307" s="1" t="n">
        <v>46218</v>
      </c>
      <c r="F307" t="inlineStr">
        <is>
          <t>SÖDERMANLANDS LÄN</t>
        </is>
      </c>
      <c r="G307" t="inlineStr">
        <is>
          <t>STRÄNGNÄS</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60749-2021</t>
        </is>
      </c>
      <c r="B308" t="inlineStr">
        <is>
          <t>avverkningsanmälan</t>
        </is>
      </c>
      <c r="C308" t="inlineStr">
        <is>
          <t>Föryngringsavverkning</t>
        </is>
      </c>
      <c r="D308" s="1" t="n">
        <v>44496</v>
      </c>
      <c r="E308" s="1" t="n">
        <v>46218</v>
      </c>
      <c r="F308" t="inlineStr">
        <is>
          <t>SÖDERMANLANDS LÄN</t>
        </is>
      </c>
      <c r="G308" t="inlineStr">
        <is>
          <t>STRÄNGNÄS</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10543-2026</t>
        </is>
      </c>
      <c r="B309" t="inlineStr">
        <is>
          <t>avverkningsanmälan</t>
        </is>
      </c>
      <c r="C309" t="inlineStr">
        <is>
          <t>Föryngringsavverkning</t>
        </is>
      </c>
      <c r="D309" s="1" t="n">
        <v>46077</v>
      </c>
      <c r="E309" s="1" t="n">
        <v>46218</v>
      </c>
      <c r="F309" t="inlineStr">
        <is>
          <t>SÖDERMANLANDS LÄN</t>
        </is>
      </c>
      <c r="G309" t="inlineStr">
        <is>
          <t>STRÄNGNÄS</t>
        </is>
      </c>
      <c r="H309" t="inlineStr">
        <is>
          <t>Övriga Aktiebolag</t>
        </is>
      </c>
      <c r="I309" t="n">
        <v>8.199999999999999</v>
      </c>
      <c r="J309" t="n">
        <v>0</v>
      </c>
      <c r="K309" t="n">
        <v>0</v>
      </c>
      <c r="L309" t="n">
        <v>0</v>
      </c>
      <c r="M309" t="n">
        <v>0</v>
      </c>
      <c r="N309" t="n">
        <v>0</v>
      </c>
      <c r="O309" t="n">
        <v>0</v>
      </c>
      <c r="P309" t="n">
        <v>0</v>
      </c>
      <c r="Q309" t="n">
        <v>0</v>
      </c>
      <c r="R309" t="n">
        <v>0</v>
      </c>
      <c r="S309" t="n">
        <v>0</v>
      </c>
      <c r="T309" t="n">
        <v>0</v>
      </c>
      <c r="U309" s="2" t="inlineStr"/>
    </row>
    <row r="310" ht="15" customHeight="1">
      <c r="A310" t="inlineStr">
        <is>
          <t>A 3733-2026</t>
        </is>
      </c>
      <c r="B310" t="inlineStr">
        <is>
          <t>avverkningsanmälan</t>
        </is>
      </c>
      <c r="C310" t="inlineStr">
        <is>
          <t>Föryngringsavverkning</t>
        </is>
      </c>
      <c r="D310" s="1" t="n">
        <v>46043</v>
      </c>
      <c r="E310" s="1" t="n">
        <v>46218</v>
      </c>
      <c r="F310" t="inlineStr">
        <is>
          <t>SÖDERMANLANDS LÄN</t>
        </is>
      </c>
      <c r="G310" t="inlineStr">
        <is>
          <t>STRÄNGNÄS</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23961-2026</t>
        </is>
      </c>
      <c r="B311" t="inlineStr">
        <is>
          <t>avverkningsanmälan</t>
        </is>
      </c>
      <c r="C311" t="inlineStr">
        <is>
          <t>Föryngringsavverkning</t>
        </is>
      </c>
      <c r="D311" s="1" t="n">
        <v>46167</v>
      </c>
      <c r="E311" s="1" t="n">
        <v>46218</v>
      </c>
      <c r="F311" t="inlineStr">
        <is>
          <t>SÖDERMANLANDS LÄN</t>
        </is>
      </c>
      <c r="G311" t="inlineStr">
        <is>
          <t>STRÄNGNÄS</t>
        </is>
      </c>
      <c r="I311" t="n">
        <v>2.8</v>
      </c>
      <c r="J311" t="n">
        <v>0</v>
      </c>
      <c r="K311" t="n">
        <v>0</v>
      </c>
      <c r="L311" t="n">
        <v>0</v>
      </c>
      <c r="M311" t="n">
        <v>0</v>
      </c>
      <c r="N311" t="n">
        <v>0</v>
      </c>
      <c r="O311" t="n">
        <v>0</v>
      </c>
      <c r="P311" t="n">
        <v>0</v>
      </c>
      <c r="Q311" t="n">
        <v>0</v>
      </c>
      <c r="R311" t="n">
        <v>0</v>
      </c>
      <c r="S311" t="n">
        <v>0</v>
      </c>
      <c r="T311" t="n">
        <v>0</v>
      </c>
      <c r="U311" s="2" t="inlineStr"/>
    </row>
    <row r="312" ht="15" customHeight="1">
      <c r="A312" t="inlineStr">
        <is>
          <t>A 23995-2026</t>
        </is>
      </c>
      <c r="B312" t="inlineStr">
        <is>
          <t>avverkningsanmälan</t>
        </is>
      </c>
      <c r="C312" t="inlineStr">
        <is>
          <t>Föryngringsavverkning</t>
        </is>
      </c>
      <c r="D312" s="1" t="n">
        <v>46167</v>
      </c>
      <c r="E312" s="1" t="n">
        <v>46218</v>
      </c>
      <c r="F312" t="inlineStr">
        <is>
          <t>SÖDERMANLANDS LÄN</t>
        </is>
      </c>
      <c r="G312" t="inlineStr">
        <is>
          <t>STRÄNGNÄS</t>
        </is>
      </c>
      <c r="I312" t="n">
        <v>1.2</v>
      </c>
      <c r="J312" t="n">
        <v>0</v>
      </c>
      <c r="K312" t="n">
        <v>0</v>
      </c>
      <c r="L312" t="n">
        <v>0</v>
      </c>
      <c r="M312" t="n">
        <v>0</v>
      </c>
      <c r="N312" t="n">
        <v>0</v>
      </c>
      <c r="O312" t="n">
        <v>0</v>
      </c>
      <c r="P312" t="n">
        <v>0</v>
      </c>
      <c r="Q312" t="n">
        <v>0</v>
      </c>
      <c r="R312" t="n">
        <v>0</v>
      </c>
      <c r="S312" t="n">
        <v>0</v>
      </c>
      <c r="T312" t="n">
        <v>0</v>
      </c>
      <c r="U312" s="2" t="inlineStr"/>
    </row>
    <row r="313" ht="15" customHeight="1">
      <c r="A313" t="inlineStr">
        <is>
          <t>A 9942-2026</t>
        </is>
      </c>
      <c r="B313" t="inlineStr">
        <is>
          <t>avverkningsanmälan</t>
        </is>
      </c>
      <c r="C313" t="inlineStr">
        <is>
          <t>Föryngringsavverkning</t>
        </is>
      </c>
      <c r="D313" s="1" t="n">
        <v>46073</v>
      </c>
      <c r="E313" s="1" t="n">
        <v>46218</v>
      </c>
      <c r="F313" t="inlineStr">
        <is>
          <t>SÖDERMANLANDS LÄN</t>
        </is>
      </c>
      <c r="G313" t="inlineStr">
        <is>
          <t>STRÄNGNÄS</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10121-2026</t>
        </is>
      </c>
      <c r="B314" t="inlineStr">
        <is>
          <t>avverkningsanmälan</t>
        </is>
      </c>
      <c r="C314" t="inlineStr">
        <is>
          <t>Föryngringsavverkning</t>
        </is>
      </c>
      <c r="D314" s="1" t="n">
        <v>46075</v>
      </c>
      <c r="E314" s="1" t="n">
        <v>46218</v>
      </c>
      <c r="F314" t="inlineStr">
        <is>
          <t>SÖDERMANLANDS LÄN</t>
        </is>
      </c>
      <c r="G314" t="inlineStr">
        <is>
          <t>STRÄNGNÄS</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10770-2026</t>
        </is>
      </c>
      <c r="B315" t="inlineStr">
        <is>
          <t>avverkningsanmälan</t>
        </is>
      </c>
      <c r="C315" t="inlineStr">
        <is>
          <t>Föryngringsavverkning</t>
        </is>
      </c>
      <c r="D315" s="1" t="n">
        <v>46078</v>
      </c>
      <c r="E315" s="1" t="n">
        <v>46218</v>
      </c>
      <c r="F315" t="inlineStr">
        <is>
          <t>SÖDERMANLANDS LÄN</t>
        </is>
      </c>
      <c r="G315" t="inlineStr">
        <is>
          <t>STRÄNGNÄS</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27680-2026</t>
        </is>
      </c>
      <c r="B316" t="inlineStr">
        <is>
          <t>avverkningsanmälan</t>
        </is>
      </c>
      <c r="C316" t="inlineStr">
        <is>
          <t>Föryngringsavverkning</t>
        </is>
      </c>
      <c r="D316" s="1" t="n">
        <v>46188</v>
      </c>
      <c r="E316" s="1" t="n">
        <v>46218</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s="2" t="inlineStr"/>
    </row>
    <row r="317" ht="15" customHeight="1">
      <c r="A317" t="inlineStr">
        <is>
          <t>A 12343-2026</t>
        </is>
      </c>
      <c r="B317" t="inlineStr">
        <is>
          <t>avverkningsanmälan</t>
        </is>
      </c>
      <c r="C317" t="inlineStr">
        <is>
          <t>Föryngringsavverkning</t>
        </is>
      </c>
      <c r="D317" s="1" t="n">
        <v>46087</v>
      </c>
      <c r="E317" s="1" t="n">
        <v>46218</v>
      </c>
      <c r="F317" t="inlineStr">
        <is>
          <t>SÖDERMANLANDS LÄN</t>
        </is>
      </c>
      <c r="G317" t="inlineStr">
        <is>
          <t>STRÄNGNÄS</t>
        </is>
      </c>
      <c r="I317" t="n">
        <v>3.6</v>
      </c>
      <c r="J317" t="n">
        <v>0</v>
      </c>
      <c r="K317" t="n">
        <v>0</v>
      </c>
      <c r="L317" t="n">
        <v>0</v>
      </c>
      <c r="M317" t="n">
        <v>0</v>
      </c>
      <c r="N317" t="n">
        <v>0</v>
      </c>
      <c r="O317" t="n">
        <v>0</v>
      </c>
      <c r="P317" t="n">
        <v>0</v>
      </c>
      <c r="Q317" t="n">
        <v>0</v>
      </c>
      <c r="R317" t="n">
        <v>0</v>
      </c>
      <c r="S317" t="n">
        <v>0</v>
      </c>
      <c r="T317" t="n">
        <v>0</v>
      </c>
      <c r="U317" s="2" t="inlineStr"/>
    </row>
    <row r="318" ht="15" customHeight="1">
      <c r="A318" t="inlineStr">
        <is>
          <t>A 27677-2026</t>
        </is>
      </c>
      <c r="B318" t="inlineStr">
        <is>
          <t>avverkningsanmälan</t>
        </is>
      </c>
      <c r="C318" t="inlineStr">
        <is>
          <t>Föryngringsavverkning</t>
        </is>
      </c>
      <c r="D318" s="1" t="n">
        <v>46188</v>
      </c>
      <c r="E318" s="1" t="n">
        <v>46218</v>
      </c>
      <c r="F318" t="inlineStr">
        <is>
          <t>SÖDERMANLANDS LÄN</t>
        </is>
      </c>
      <c r="G318" t="inlineStr">
        <is>
          <t>STRÄNGNÄS</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A 30753-2026</t>
        </is>
      </c>
      <c r="B319" t="inlineStr">
        <is>
          <t>avverkningsanmälan</t>
        </is>
      </c>
      <c r="C319" t="inlineStr">
        <is>
          <t>Avverkning för annat ändamål</t>
        </is>
      </c>
      <c r="D319" s="1" t="n">
        <v>46212</v>
      </c>
      <c r="E319" s="1" t="n">
        <v>46218</v>
      </c>
      <c r="F319" t="inlineStr">
        <is>
          <t>SÖDERMANLANDS LÄN</t>
        </is>
      </c>
      <c r="G319" t="inlineStr">
        <is>
          <t>STRÄNGNÄS</t>
        </is>
      </c>
      <c r="H319" t="inlineStr">
        <is>
          <t>Övriga Aktiebolag</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24680-2026</t>
        </is>
      </c>
      <c r="B320" t="inlineStr">
        <is>
          <t>avverkningsanmälan</t>
        </is>
      </c>
      <c r="C320" t="inlineStr">
        <is>
          <t>Föryngringsavverkning</t>
        </is>
      </c>
      <c r="D320" s="1" t="n">
        <v>46171</v>
      </c>
      <c r="E320" s="1" t="n">
        <v>46218</v>
      </c>
      <c r="F320" t="inlineStr">
        <is>
          <t>SÖDERMANLANDS LÄN</t>
        </is>
      </c>
      <c r="G320" t="inlineStr">
        <is>
          <t>STRÄNGNÄS</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24691-2026</t>
        </is>
      </c>
      <c r="B321" t="inlineStr">
        <is>
          <t>avverkningsanmälan</t>
        </is>
      </c>
      <c r="C321" t="inlineStr">
        <is>
          <t>Föryngringsavverkning</t>
        </is>
      </c>
      <c r="D321" s="1" t="n">
        <v>46171</v>
      </c>
      <c r="E321" s="1" t="n">
        <v>46218</v>
      </c>
      <c r="F321" t="inlineStr">
        <is>
          <t>SÖDERMANLANDS LÄN</t>
        </is>
      </c>
      <c r="G321" t="inlineStr">
        <is>
          <t>STRÄNGNÄS</t>
        </is>
      </c>
      <c r="I321" t="n">
        <v>2.8</v>
      </c>
      <c r="J321" t="n">
        <v>0</v>
      </c>
      <c r="K321" t="n">
        <v>0</v>
      </c>
      <c r="L321" t="n">
        <v>0</v>
      </c>
      <c r="M321" t="n">
        <v>0</v>
      </c>
      <c r="N321" t="n">
        <v>0</v>
      </c>
      <c r="O321" t="n">
        <v>0</v>
      </c>
      <c r="P321" t="n">
        <v>0</v>
      </c>
      <c r="Q321" t="n">
        <v>0</v>
      </c>
      <c r="R321" t="n">
        <v>0</v>
      </c>
      <c r="S321" t="n">
        <v>0</v>
      </c>
      <c r="T321" t="n">
        <v>0</v>
      </c>
      <c r="U321" s="2" t="inlineStr"/>
    </row>
    <row r="322" ht="15" customHeight="1">
      <c r="A322" t="inlineStr">
        <is>
          <t>A 24694-2026</t>
        </is>
      </c>
      <c r="B322" t="inlineStr">
        <is>
          <t>avverkningsanmälan</t>
        </is>
      </c>
      <c r="C322" t="inlineStr">
        <is>
          <t>Föryngringsavverkning</t>
        </is>
      </c>
      <c r="D322" s="1" t="n">
        <v>46171</v>
      </c>
      <c r="E322" s="1" t="n">
        <v>46218</v>
      </c>
      <c r="F322" t="inlineStr">
        <is>
          <t>SÖDERMANLANDS LÄN</t>
        </is>
      </c>
      <c r="G322" t="inlineStr">
        <is>
          <t>STRÄNGNÄS</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52998-2025</t>
        </is>
      </c>
      <c r="B323" t="inlineStr">
        <is>
          <t>avverkningsanmälan</t>
        </is>
      </c>
      <c r="C323" t="inlineStr">
        <is>
          <t>Föryngringsavverkning</t>
        </is>
      </c>
      <c r="D323" s="1" t="n">
        <v>45957</v>
      </c>
      <c r="E323" s="1" t="n">
        <v>46218</v>
      </c>
      <c r="F323" t="inlineStr">
        <is>
          <t>SÖDERMANLANDS LÄN</t>
        </is>
      </c>
      <c r="G323" t="inlineStr">
        <is>
          <t>STRÄNGNÄS</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59294-2025</t>
        </is>
      </c>
      <c r="B324" t="inlineStr">
        <is>
          <t>avverkningsanmälan</t>
        </is>
      </c>
      <c r="C324" t="inlineStr">
        <is>
          <t>Föryngringsavverkning</t>
        </is>
      </c>
      <c r="D324" s="1" t="n">
        <v>45988</v>
      </c>
      <c r="E324" s="1" t="n">
        <v>46218</v>
      </c>
      <c r="F324" t="inlineStr">
        <is>
          <t>SÖDERMANLANDS LÄN</t>
        </is>
      </c>
      <c r="G324" t="inlineStr">
        <is>
          <t>STRÄNGNÄS</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25077-2026</t>
        </is>
      </c>
      <c r="B325" t="inlineStr">
        <is>
          <t>avverkningsanmälan</t>
        </is>
      </c>
      <c r="C325" t="inlineStr">
        <is>
          <t>Föryngringsavverkning</t>
        </is>
      </c>
      <c r="D325" s="1" t="n">
        <v>46174</v>
      </c>
      <c r="E325" s="1" t="n">
        <v>46218</v>
      </c>
      <c r="F325" t="inlineStr">
        <is>
          <t>SÖDERMANLANDS LÄN</t>
        </is>
      </c>
      <c r="G325" t="inlineStr">
        <is>
          <t>STRÄNGNÄS</t>
        </is>
      </c>
      <c r="I325" t="n">
        <v>5.4</v>
      </c>
      <c r="J325" t="n">
        <v>0</v>
      </c>
      <c r="K325" t="n">
        <v>0</v>
      </c>
      <c r="L325" t="n">
        <v>0</v>
      </c>
      <c r="M325" t="n">
        <v>0</v>
      </c>
      <c r="N325" t="n">
        <v>0</v>
      </c>
      <c r="O325" t="n">
        <v>0</v>
      </c>
      <c r="P325" t="n">
        <v>0</v>
      </c>
      <c r="Q325" t="n">
        <v>0</v>
      </c>
      <c r="R325" t="n">
        <v>0</v>
      </c>
      <c r="S325" t="n">
        <v>0</v>
      </c>
      <c r="T325" t="n">
        <v>0</v>
      </c>
      <c r="U325" s="2" t="inlineStr"/>
    </row>
    <row r="326" ht="15" customHeight="1">
      <c r="A326" t="inlineStr">
        <is>
          <t>A 18971-2026</t>
        </is>
      </c>
      <c r="B326" t="inlineStr">
        <is>
          <t>avverkningsanmälan</t>
        </is>
      </c>
      <c r="C326" t="inlineStr">
        <is>
          <t>Föryngringsavverkning</t>
        </is>
      </c>
      <c r="D326" s="1" t="n">
        <v>46129</v>
      </c>
      <c r="E326" s="1" t="n">
        <v>46218</v>
      </c>
      <c r="F326" t="inlineStr">
        <is>
          <t>SÖDERMANLANDS LÄN</t>
        </is>
      </c>
      <c r="G326" t="inlineStr">
        <is>
          <t>STRÄNGNÄS</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18965-2026</t>
        </is>
      </c>
      <c r="B327" t="inlineStr">
        <is>
          <t>avverkningsanmälan</t>
        </is>
      </c>
      <c r="C327" t="inlineStr">
        <is>
          <t>Föryngringsavverkning</t>
        </is>
      </c>
      <c r="D327" s="1" t="n">
        <v>46129</v>
      </c>
      <c r="E327" s="1" t="n">
        <v>46218</v>
      </c>
      <c r="F327" t="inlineStr">
        <is>
          <t>SÖDERMANLANDS LÄN</t>
        </is>
      </c>
      <c r="G327" t="inlineStr">
        <is>
          <t>STRÄNGNÄS</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18904-2026</t>
        </is>
      </c>
      <c r="B328" t="inlineStr">
        <is>
          <t>avverkningsanmälan</t>
        </is>
      </c>
      <c r="C328" t="inlineStr">
        <is>
          <t>Föryngringsavverkning</t>
        </is>
      </c>
      <c r="D328" s="1" t="n">
        <v>46129</v>
      </c>
      <c r="E328" s="1" t="n">
        <v>46218</v>
      </c>
      <c r="F328" t="inlineStr">
        <is>
          <t>SÖDERMANLANDS LÄN</t>
        </is>
      </c>
      <c r="G328" t="inlineStr">
        <is>
          <t>STRÄNGNÄS</t>
        </is>
      </c>
      <c r="I328" t="n">
        <v>3.4</v>
      </c>
      <c r="J328" t="n">
        <v>0</v>
      </c>
      <c r="K328" t="n">
        <v>0</v>
      </c>
      <c r="L328" t="n">
        <v>0</v>
      </c>
      <c r="M328" t="n">
        <v>0</v>
      </c>
      <c r="N328" t="n">
        <v>0</v>
      </c>
      <c r="O328" t="n">
        <v>0</v>
      </c>
      <c r="P328" t="n">
        <v>0</v>
      </c>
      <c r="Q328" t="n">
        <v>0</v>
      </c>
      <c r="R328" t="n">
        <v>0</v>
      </c>
      <c r="S328" t="n">
        <v>0</v>
      </c>
      <c r="T328" t="n">
        <v>0</v>
      </c>
      <c r="U328" s="2" t="inlineStr"/>
    </row>
    <row r="329" ht="15" customHeight="1">
      <c r="A329" t="inlineStr">
        <is>
          <t>A 18961-2026</t>
        </is>
      </c>
      <c r="B329" t="inlineStr">
        <is>
          <t>avverkningsanmälan</t>
        </is>
      </c>
      <c r="C329" t="inlineStr">
        <is>
          <t>Föryngringsavverkning</t>
        </is>
      </c>
      <c r="D329" s="1" t="n">
        <v>46129</v>
      </c>
      <c r="E329" s="1" t="n">
        <v>46218</v>
      </c>
      <c r="F329" t="inlineStr">
        <is>
          <t>SÖDERMANLANDS LÄN</t>
        </is>
      </c>
      <c r="G329" t="inlineStr">
        <is>
          <t>STRÄNGNÄS</t>
        </is>
      </c>
      <c r="I329" t="n">
        <v>2.1</v>
      </c>
      <c r="J329" t="n">
        <v>0</v>
      </c>
      <c r="K329" t="n">
        <v>0</v>
      </c>
      <c r="L329" t="n">
        <v>0</v>
      </c>
      <c r="M329" t="n">
        <v>0</v>
      </c>
      <c r="N329" t="n">
        <v>0</v>
      </c>
      <c r="O329" t="n">
        <v>0</v>
      </c>
      <c r="P329" t="n">
        <v>0</v>
      </c>
      <c r="Q329" t="n">
        <v>0</v>
      </c>
      <c r="R329" t="n">
        <v>0</v>
      </c>
      <c r="S329" t="n">
        <v>0</v>
      </c>
      <c r="T329" t="n">
        <v>0</v>
      </c>
      <c r="U329" s="2" t="inlineStr"/>
    </row>
    <row r="330" ht="15" customHeight="1">
      <c r="A330" t="inlineStr">
        <is>
          <t>A 4115-2025</t>
        </is>
      </c>
      <c r="B330" t="inlineStr">
        <is>
          <t>avverkningsanmälan</t>
        </is>
      </c>
      <c r="C330" t="inlineStr">
        <is>
          <t>Föryngringsavverkning</t>
        </is>
      </c>
      <c r="D330" s="1" t="n">
        <v>45684</v>
      </c>
      <c r="E330" s="1" t="n">
        <v>46218</v>
      </c>
      <c r="F330" t="inlineStr">
        <is>
          <t>SÖDERMANLANDS LÄN</t>
        </is>
      </c>
      <c r="G330" t="inlineStr">
        <is>
          <t>STRÄNGNÄS</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S 3845-2023</t>
        </is>
      </c>
      <c r="B331" t="inlineStr">
        <is>
          <t>samrådsanmälan</t>
        </is>
      </c>
      <c r="C331" t="inlineStr">
        <is>
          <t>Annan skogsbruksåtgärd</t>
        </is>
      </c>
      <c r="D331" s="1" t="n">
        <v>45235</v>
      </c>
      <c r="E331" s="1" t="n">
        <v>46218</v>
      </c>
      <c r="F331" t="inlineStr">
        <is>
          <t>SÖDERMANLANDS LÄN</t>
        </is>
      </c>
      <c r="G331" t="inlineStr">
        <is>
          <t>STRÄNGNÄS</t>
        </is>
      </c>
      <c r="I331" t="n">
        <v>2.5</v>
      </c>
      <c r="J331" t="n">
        <v>0</v>
      </c>
      <c r="K331" t="n">
        <v>0</v>
      </c>
      <c r="L331" t="n">
        <v>0</v>
      </c>
      <c r="M331" t="n">
        <v>0</v>
      </c>
      <c r="N331" t="n">
        <v>0</v>
      </c>
      <c r="O331" t="n">
        <v>0</v>
      </c>
      <c r="P331" t="n">
        <v>0</v>
      </c>
      <c r="Q331" t="n">
        <v>0</v>
      </c>
      <c r="R331" t="n">
        <v>0</v>
      </c>
      <c r="S331" t="n">
        <v>0</v>
      </c>
      <c r="T331" t="n">
        <v>0</v>
      </c>
      <c r="U331" s="2" t="inlineStr"/>
    </row>
    <row r="332" ht="15" customHeight="1">
      <c r="A332" t="inlineStr">
        <is>
          <t>S 6304-2021</t>
        </is>
      </c>
      <c r="B332" t="inlineStr">
        <is>
          <t>samrådsanmälan</t>
        </is>
      </c>
      <c r="C332" t="inlineStr">
        <is>
          <t>Åtgärd i nyckelbiotop</t>
        </is>
      </c>
      <c r="D332" s="1" t="n">
        <v>44448</v>
      </c>
      <c r="E332" s="1" t="n">
        <v>46218</v>
      </c>
      <c r="F332" t="inlineStr">
        <is>
          <t>SÖDERMANLANDS LÄN</t>
        </is>
      </c>
      <c r="G332" t="inlineStr">
        <is>
          <t>STRÄNGNÄS</t>
        </is>
      </c>
      <c r="I332" t="n">
        <v>5.6</v>
      </c>
      <c r="J332" t="n">
        <v>0</v>
      </c>
      <c r="K332" t="n">
        <v>0</v>
      </c>
      <c r="L332" t="n">
        <v>0</v>
      </c>
      <c r="M332" t="n">
        <v>0</v>
      </c>
      <c r="N332" t="n">
        <v>0</v>
      </c>
      <c r="O332" t="n">
        <v>0</v>
      </c>
      <c r="P332" t="n">
        <v>0</v>
      </c>
      <c r="Q332" t="n">
        <v>0</v>
      </c>
      <c r="R332" t="n">
        <v>0</v>
      </c>
      <c r="S332" t="n">
        <v>0</v>
      </c>
      <c r="T332" t="n">
        <v>0</v>
      </c>
      <c r="U332" s="2" t="inlineStr"/>
    </row>
    <row r="333" ht="15" customHeight="1">
      <c r="A333" t="inlineStr">
        <is>
          <t>S 3717-2023</t>
        </is>
      </c>
      <c r="B333" t="inlineStr">
        <is>
          <t>samrådsanmälan</t>
        </is>
      </c>
      <c r="C333" t="inlineStr">
        <is>
          <t>Annan skogsbruksåtgärd</t>
        </is>
      </c>
      <c r="D333" s="1" t="n">
        <v>45226</v>
      </c>
      <c r="E333" s="1" t="n">
        <v>46218</v>
      </c>
      <c r="F333" t="inlineStr">
        <is>
          <t>SÖDERMANLANDS LÄN</t>
        </is>
      </c>
      <c r="G333" t="inlineStr">
        <is>
          <t>STRÄNGNÄS</t>
        </is>
      </c>
      <c r="I333" t="n">
        <v>3.3</v>
      </c>
      <c r="J333" t="n">
        <v>0</v>
      </c>
      <c r="K333" t="n">
        <v>0</v>
      </c>
      <c r="L333" t="n">
        <v>0</v>
      </c>
      <c r="M333" t="n">
        <v>0</v>
      </c>
      <c r="N333" t="n">
        <v>0</v>
      </c>
      <c r="O333" t="n">
        <v>0</v>
      </c>
      <c r="P333" t="n">
        <v>0</v>
      </c>
      <c r="Q333" t="n">
        <v>0</v>
      </c>
      <c r="R333" t="n">
        <v>0</v>
      </c>
      <c r="S333" t="n">
        <v>0</v>
      </c>
      <c r="T333" t="n">
        <v>0</v>
      </c>
      <c r="U333" s="2" t="inlineStr"/>
    </row>
    <row r="334" ht="15" customHeight="1">
      <c r="A334" t="inlineStr">
        <is>
          <t>S 3431-2025</t>
        </is>
      </c>
      <c r="B334" t="inlineStr">
        <is>
          <t>samrådsanmälan</t>
        </is>
      </c>
      <c r="C334" t="inlineStr">
        <is>
          <t>Annan skogsbruksåtgärd</t>
        </is>
      </c>
      <c r="D334" s="1" t="n">
        <v>45995</v>
      </c>
      <c r="E334" s="1" t="n">
        <v>46218</v>
      </c>
      <c r="F334" t="inlineStr">
        <is>
          <t>SÖDERMANLANDS LÄN</t>
        </is>
      </c>
      <c r="G334" t="inlineStr">
        <is>
          <t>STRÄNGNÄS</t>
        </is>
      </c>
      <c r="I334" t="n">
        <v>0.8</v>
      </c>
      <c r="J334" t="n">
        <v>0</v>
      </c>
      <c r="K334" t="n">
        <v>0</v>
      </c>
      <c r="L334" t="n">
        <v>0</v>
      </c>
      <c r="M334" t="n">
        <v>0</v>
      </c>
      <c r="N334" t="n">
        <v>0</v>
      </c>
      <c r="O334" t="n">
        <v>0</v>
      </c>
      <c r="P334" t="n">
        <v>0</v>
      </c>
      <c r="Q334" t="n">
        <v>0</v>
      </c>
      <c r="R334" t="n">
        <v>0</v>
      </c>
      <c r="S334" t="n">
        <v>0</v>
      </c>
      <c r="T334" t="n">
        <v>0</v>
      </c>
      <c r="U334" s="2" t="inlineStr"/>
    </row>
    <row r="335">
      <c r="A335" t="inlineStr">
        <is>
          <t>S 41-2026</t>
        </is>
      </c>
      <c r="B335" t="inlineStr">
        <is>
          <t>samrådsanmälan</t>
        </is>
      </c>
      <c r="C335" t="inlineStr">
        <is>
          <t>Annan skogsbruksåtgärd</t>
        </is>
      </c>
      <c r="D335" s="1" t="n">
        <v>46027</v>
      </c>
      <c r="E335" s="1" t="n">
        <v>46218</v>
      </c>
      <c r="F335" t="inlineStr">
        <is>
          <t>SÖDERMANLANDS LÄN</t>
        </is>
      </c>
      <c r="G335" t="inlineStr">
        <is>
          <t>STRÄNGNÄS</t>
        </is>
      </c>
      <c r="I335" t="n">
        <v>4.8</v>
      </c>
      <c r="J335" t="n">
        <v>0</v>
      </c>
      <c r="K335" t="n">
        <v>0</v>
      </c>
      <c r="L335" t="n">
        <v>0</v>
      </c>
      <c r="M335" t="n">
        <v>0</v>
      </c>
      <c r="N335" t="n">
        <v>0</v>
      </c>
      <c r="O335" t="n">
        <v>0</v>
      </c>
      <c r="P335" t="n">
        <v>0</v>
      </c>
      <c r="Q335" t="n">
        <v>0</v>
      </c>
      <c r="R335" t="n">
        <v>0</v>
      </c>
      <c r="S335" t="n">
        <v>0</v>
      </c>
      <c r="T335" t="n">
        <v>0</v>
      </c>
      <c r="U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2026-07-15T01:27:13Z</dcterms:created>
  <dcterms:modified xmlns:dcterms="http://purl.org/dc/terms/" xmlns:xsi="http://www.w3.org/2001/XMLSchema-instance" xsi:type="dcterms:W3CDTF">2026-07-15T01:27:14Z</dcterms:modified>
</cp:coreProperties>
</file>