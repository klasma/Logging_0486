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46316</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46316</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46316</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46316</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46316</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46316</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46316</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46316</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46316</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46316</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46316</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52999-2025</t>
        </is>
      </c>
      <c r="B17" t="inlineStr">
        <is>
          <t>avverkningsanmälan</t>
        </is>
      </c>
      <c r="C17" t="inlineStr">
        <is>
          <t>Föryngringsavverkning</t>
        </is>
      </c>
      <c r="D17" s="1" t="n">
        <v>45957</v>
      </c>
      <c r="E17" s="1" t="n">
        <v>46316</v>
      </c>
      <c r="F17" t="inlineStr">
        <is>
          <t>SÖDERMANLANDS LÄN</t>
        </is>
      </c>
      <c r="G17" t="inlineStr">
        <is>
          <t>STRÄNGNÄS</t>
        </is>
      </c>
      <c r="I17" t="n">
        <v>5.3</v>
      </c>
      <c r="J17" t="n">
        <v>2</v>
      </c>
      <c r="K17" t="n">
        <v>1</v>
      </c>
      <c r="L17" t="n">
        <v>0</v>
      </c>
      <c r="M17" t="n">
        <v>1</v>
      </c>
      <c r="N17" t="n">
        <v>0</v>
      </c>
      <c r="O17" t="n">
        <v>0</v>
      </c>
      <c r="P17" t="n">
        <v>0</v>
      </c>
      <c r="Q17" t="n">
        <v>1</v>
      </c>
      <c r="R17" t="n">
        <v>1</v>
      </c>
      <c r="S17" t="n">
        <v>3</v>
      </c>
      <c r="T17" t="n">
        <v>3</v>
      </c>
      <c r="U17" t="n">
        <v>0</v>
      </c>
      <c r="V17" s="2" t="inlineStr">
        <is>
          <t>Knärot
Grönpyrola
Kungsfågel</t>
        </is>
      </c>
      <c r="W17">
        <f>HYPERLINK("https://klasma.github.io/Logging_0486/artfynd/A 52999-2025 artfynd.xlsx", "A 52999-2025")</f>
        <v/>
      </c>
      <c r="X17">
        <f>HYPERLINK("https://klasma.github.io/Logging_0486/kartor/A 52999-2025 karta.png", "A 52999-2025")</f>
        <v/>
      </c>
      <c r="Y17">
        <f>HYPERLINK("https://klasma.github.io/Logging_0486/kartor_geotiff/A 52999-2025 georefererad karta.tif", "A 52999-2025")</f>
        <v/>
      </c>
      <c r="Z17">
        <f>HYPERLINK("https://klasma.github.io/Logging_0486/knärot/A 52999-2025 karta knärot.png", "A 52999-2025")</f>
        <v/>
      </c>
      <c r="AA17">
        <f>HYPERLINK("https://klasma.github.io/Logging_0486/klagomål/A 52999-2025 FSC-klagomål.docx", "A 52999-2025")</f>
        <v/>
      </c>
      <c r="AB17">
        <f>HYPERLINK("https://klasma.github.io/Logging_0486/klagomålsmail/A 52999-2025 FSC-klagomål mail.docx", "A 52999-2025")</f>
        <v/>
      </c>
      <c r="AC17">
        <f>HYPERLINK("https://klasma.github.io/Logging_0486/tillsyn/A 52999-2025 tillsynsbegäran.docx", "A 52999-2025")</f>
        <v/>
      </c>
      <c r="AD17">
        <f>HYPERLINK("https://klasma.github.io/Logging_0486/tillsynsmail/A 52999-2025 tillsynsbegäran mail.docx", "A 52999-2025")</f>
        <v/>
      </c>
    </row>
    <row r="18" ht="15" customHeight="1">
      <c r="A18" t="inlineStr">
        <is>
          <t>A 49759-2025</t>
        </is>
      </c>
      <c r="B18" t="inlineStr">
        <is>
          <t>avverkningsanmälan</t>
        </is>
      </c>
      <c r="C18" t="inlineStr">
        <is>
          <t>Avverkning för annat ändamål</t>
        </is>
      </c>
      <c r="D18" s="1" t="n">
        <v>45939</v>
      </c>
      <c r="E18" s="1" t="n">
        <v>46316</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36799-2025</t>
        </is>
      </c>
      <c r="B19" t="inlineStr">
        <is>
          <t>avverkningsanmälan</t>
        </is>
      </c>
      <c r="C19" t="inlineStr">
        <is>
          <t>Föryngringsavverkning</t>
        </is>
      </c>
      <c r="D19" s="1" t="n">
        <v>45873</v>
      </c>
      <c r="E19" s="1" t="n">
        <v>46316</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24688-2026</t>
        </is>
      </c>
      <c r="B20" t="inlineStr">
        <is>
          <t>avverkningsanmälan</t>
        </is>
      </c>
      <c r="C20" t="inlineStr">
        <is>
          <t>Föryngringsavverkning</t>
        </is>
      </c>
      <c r="D20" s="1" t="n">
        <v>46171</v>
      </c>
      <c r="E20" s="1" t="n">
        <v>46316</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S 5673-2022</t>
        </is>
      </c>
      <c r="B21" t="inlineStr">
        <is>
          <t>samrådsanmälan</t>
        </is>
      </c>
      <c r="C21" t="inlineStr">
        <is>
          <t>Annan skogsbruksåtgärd</t>
        </is>
      </c>
      <c r="D21" s="1" t="n">
        <v>44841</v>
      </c>
      <c r="E21" s="1" t="n">
        <v>46316</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46316</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46316</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40560-2025</t>
        </is>
      </c>
      <c r="B24" t="inlineStr">
        <is>
          <t>avverkningsanmälan</t>
        </is>
      </c>
      <c r="C24" t="inlineStr">
        <is>
          <t>Avverkning för annat ändamål</t>
        </is>
      </c>
      <c r="D24" s="1" t="n">
        <v>45896</v>
      </c>
      <c r="E24" s="1" t="n">
        <v>46316</v>
      </c>
      <c r="F24" t="inlineStr">
        <is>
          <t>SÖDERMANLANDS LÄN</t>
        </is>
      </c>
      <c r="G24" t="inlineStr">
        <is>
          <t>STRÄNGNÄS</t>
        </is>
      </c>
      <c r="I24" t="n">
        <v>12.6</v>
      </c>
      <c r="J24" t="n">
        <v>1</v>
      </c>
      <c r="K24" t="n">
        <v>0</v>
      </c>
      <c r="L24" t="n">
        <v>0</v>
      </c>
      <c r="M24" t="n">
        <v>0</v>
      </c>
      <c r="N24" t="n">
        <v>1</v>
      </c>
      <c r="O24" t="n">
        <v>0</v>
      </c>
      <c r="P24" t="n">
        <v>0</v>
      </c>
      <c r="Q24" t="n">
        <v>1</v>
      </c>
      <c r="R24" t="n">
        <v>1</v>
      </c>
      <c r="S24" t="n">
        <v>2</v>
      </c>
      <c r="T24" t="n">
        <v>2</v>
      </c>
      <c r="U24" t="n">
        <v>0</v>
      </c>
      <c r="V24" s="2" t="inlineStr">
        <is>
          <t>Ask
Åkergroda</t>
        </is>
      </c>
      <c r="W24">
        <f>HYPERLINK("https://klasma.github.io/Logging_0486/artfynd/A 40560-2025 artfynd.xlsx", "A 40560-2025")</f>
        <v/>
      </c>
      <c r="X24">
        <f>HYPERLINK("https://klasma.github.io/Logging_0486/kartor/A 40560-2025 karta.png", "A 40560-2025")</f>
        <v/>
      </c>
      <c r="Y24">
        <f>HYPERLINK("https://klasma.github.io/Logging_0486/kartor_geotiff/A 40560-2025 georefererad karta.tif", "A 40560-2025")</f>
        <v/>
      </c>
      <c r="AA24">
        <f>HYPERLINK("https://klasma.github.io/Logging_0486/klagomål/A 40560-2025 FSC-klagomål.docx", "A 40560-2025")</f>
        <v/>
      </c>
      <c r="AB24">
        <f>HYPERLINK("https://klasma.github.io/Logging_0486/klagomålsmail/A 40560-2025 FSC-klagomål mail.docx", "A 40560-2025")</f>
        <v/>
      </c>
      <c r="AC24">
        <f>HYPERLINK("https://klasma.github.io/Logging_0486/tillsyn/A 40560-2025 tillsynsbegäran.docx", "A 40560-2025")</f>
        <v/>
      </c>
      <c r="AD24">
        <f>HYPERLINK("https://klasma.github.io/Logging_0486/tillsynsmail/A 40560-2025 tillsynsbegäran mail.docx", "A 40560-2025")</f>
        <v/>
      </c>
    </row>
    <row r="25" ht="15" customHeight="1">
      <c r="A25" t="inlineStr">
        <is>
          <t>A 22577-2026</t>
        </is>
      </c>
      <c r="B25" t="inlineStr">
        <is>
          <t>avverkningsanmälan</t>
        </is>
      </c>
      <c r="C25" t="inlineStr">
        <is>
          <t>Föryngringsavverkning</t>
        </is>
      </c>
      <c r="D25" s="1" t="n">
        <v>46155</v>
      </c>
      <c r="E25" s="1" t="n">
        <v>46316</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10841-2026</t>
        </is>
      </c>
      <c r="B26" t="inlineStr">
        <is>
          <t>avverkningsanmälan</t>
        </is>
      </c>
      <c r="C26" t="inlineStr">
        <is>
          <t>Föryngringsavverkning</t>
        </is>
      </c>
      <c r="D26" s="1" t="n">
        <v>46078</v>
      </c>
      <c r="E26" s="1" t="n">
        <v>46316</v>
      </c>
      <c r="F26" t="inlineStr">
        <is>
          <t>SÖDERMANLANDS LÄN</t>
        </is>
      </c>
      <c r="G26" t="inlineStr">
        <is>
          <t>STRÄNGNÄS</t>
        </is>
      </c>
      <c r="H26" t="inlineStr">
        <is>
          <t>Övriga Aktiebolag</t>
        </is>
      </c>
      <c r="I26" t="n">
        <v>11.5</v>
      </c>
      <c r="J26" t="n">
        <v>2</v>
      </c>
      <c r="K26" t="n">
        <v>0</v>
      </c>
      <c r="L26" t="n">
        <v>0</v>
      </c>
      <c r="M26" t="n">
        <v>0</v>
      </c>
      <c r="N26" t="n">
        <v>0</v>
      </c>
      <c r="O26" t="n">
        <v>0</v>
      </c>
      <c r="P26" t="n">
        <v>0</v>
      </c>
      <c r="Q26" t="n">
        <v>0</v>
      </c>
      <c r="R26" t="n">
        <v>0</v>
      </c>
      <c r="S26" t="n">
        <v>2</v>
      </c>
      <c r="T26" t="n">
        <v>2</v>
      </c>
      <c r="U26" t="n">
        <v>0</v>
      </c>
      <c r="V26" s="2" t="inlineStr">
        <is>
          <t>Grönvit nattviol
Nattviol</t>
        </is>
      </c>
      <c r="W26">
        <f>HYPERLINK("https://klasma.github.io/Logging_0486/artfynd/A 10841-2026 artfynd.xlsx", "A 10841-2026")</f>
        <v/>
      </c>
      <c r="X26">
        <f>HYPERLINK("https://klasma.github.io/Logging_0486/kartor/A 10841-2026 karta.png", "A 10841-2026")</f>
        <v/>
      </c>
      <c r="Y26">
        <f>HYPERLINK("https://klasma.github.io/Logging_0486/kartor_geotiff/A 10841-2026 georefererad karta.tif", "A 10841-2026")</f>
        <v/>
      </c>
      <c r="AA26">
        <f>HYPERLINK("https://klasma.github.io/Logging_0486/klagomål/A 10841-2026 FSC-klagomål.docx", "A 10841-2026")</f>
        <v/>
      </c>
      <c r="AB26">
        <f>HYPERLINK("https://klasma.github.io/Logging_0486/klagomålsmail/A 10841-2026 FSC-klagomål mail.docx", "A 10841-2026")</f>
        <v/>
      </c>
      <c r="AC26">
        <f>HYPERLINK("https://klasma.github.io/Logging_0486/tillsyn/A 10841-2026 tillsynsbegäran.docx", "A 10841-2026")</f>
        <v/>
      </c>
      <c r="AD26">
        <f>HYPERLINK("https://klasma.github.io/Logging_0486/tillsynsmail/A 10841-2026 tillsynsbegäran mail.docx", "A 10841-2026")</f>
        <v/>
      </c>
    </row>
    <row r="27" ht="15" customHeight="1">
      <c r="A27" t="inlineStr">
        <is>
          <t>A 24683-2026</t>
        </is>
      </c>
      <c r="B27" t="inlineStr">
        <is>
          <t>avverkningsanmälan</t>
        </is>
      </c>
      <c r="C27" t="inlineStr">
        <is>
          <t>Föryngringsavverkning</t>
        </is>
      </c>
      <c r="D27" s="1" t="n">
        <v>46171</v>
      </c>
      <c r="E27" s="1" t="n">
        <v>46316</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45669-2022</t>
        </is>
      </c>
      <c r="B28" t="inlineStr">
        <is>
          <t>avverkningsanmälan</t>
        </is>
      </c>
      <c r="C28" t="inlineStr">
        <is>
          <t>Föryngringsavverkning</t>
        </is>
      </c>
      <c r="D28" s="1" t="n">
        <v>44845</v>
      </c>
      <c r="E28" s="1" t="n">
        <v>46316</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46316</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S 165-2024</t>
        </is>
      </c>
      <c r="B30" t="inlineStr">
        <is>
          <t>samrådsanmälan</t>
        </is>
      </c>
      <c r="C30" t="inlineStr">
        <is>
          <t>Annan skogsbruksåtgärd</t>
        </is>
      </c>
      <c r="D30" s="1" t="n">
        <v>45310</v>
      </c>
      <c r="E30" s="1" t="n">
        <v>46316</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46316</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46316</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46316</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46316</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42345-2025</t>
        </is>
      </c>
      <c r="B35" t="inlineStr">
        <is>
          <t>avverkningsanmälan</t>
        </is>
      </c>
      <c r="C35" t="inlineStr">
        <is>
          <t>Avverkning för annat ändamål</t>
        </is>
      </c>
      <c r="D35" s="1" t="n">
        <v>45904</v>
      </c>
      <c r="E35" s="1" t="n">
        <v>46316</v>
      </c>
      <c r="F35" t="inlineStr">
        <is>
          <t>SÖDERMANLANDS LÄN</t>
        </is>
      </c>
      <c r="G35" t="inlineStr">
        <is>
          <t>STRÄNGNÄS</t>
        </is>
      </c>
      <c r="I35" t="n">
        <v>5</v>
      </c>
      <c r="J35" t="n">
        <v>0</v>
      </c>
      <c r="K35" t="n">
        <v>0</v>
      </c>
      <c r="L35" t="n">
        <v>0</v>
      </c>
      <c r="M35" t="n">
        <v>0</v>
      </c>
      <c r="N35" t="n">
        <v>1</v>
      </c>
      <c r="O35" t="n">
        <v>0</v>
      </c>
      <c r="P35" t="n">
        <v>0</v>
      </c>
      <c r="Q35" t="n">
        <v>1</v>
      </c>
      <c r="R35" t="n">
        <v>1</v>
      </c>
      <c r="S35" t="n">
        <v>1</v>
      </c>
      <c r="T35" t="n">
        <v>1</v>
      </c>
      <c r="U35" t="n">
        <v>0</v>
      </c>
      <c r="V35" s="2" t="inlineStr">
        <is>
          <t>Ask</t>
        </is>
      </c>
      <c r="W35">
        <f>HYPERLINK("https://klasma.github.io/Logging_0486/artfynd/A 42345-2025 artfynd.xlsx", "A 42345-2025")</f>
        <v/>
      </c>
      <c r="X35">
        <f>HYPERLINK("https://klasma.github.io/Logging_0486/kartor/A 42345-2025 karta.png", "A 42345-2025")</f>
        <v/>
      </c>
      <c r="Y35">
        <f>HYPERLINK("https://klasma.github.io/Logging_0486/kartor_geotiff/A 42345-2025 georefererad karta.tif", "A 42345-2025")</f>
        <v/>
      </c>
      <c r="AA35">
        <f>HYPERLINK("https://klasma.github.io/Logging_0486/klagomål/A 42345-2025 FSC-klagomål.docx", "A 42345-2025")</f>
        <v/>
      </c>
      <c r="AB35">
        <f>HYPERLINK("https://klasma.github.io/Logging_0486/klagomålsmail/A 42345-2025 FSC-klagomål mail.docx", "A 42345-2025")</f>
        <v/>
      </c>
      <c r="AC35">
        <f>HYPERLINK("https://klasma.github.io/Logging_0486/tillsyn/A 42345-2025 tillsynsbegäran.docx", "A 42345-2025")</f>
        <v/>
      </c>
      <c r="AD35">
        <f>HYPERLINK("https://klasma.github.io/Logging_0486/tillsynsmail/A 42345-2025 tillsynsbegäran mail.docx", "A 42345-2025")</f>
        <v/>
      </c>
    </row>
    <row r="36" ht="15" customHeight="1">
      <c r="A36" t="inlineStr">
        <is>
          <t>A 692-2023</t>
        </is>
      </c>
      <c r="B36" t="inlineStr">
        <is>
          <t>avverkningsanmälan</t>
        </is>
      </c>
      <c r="C36" t="inlineStr">
        <is>
          <t>Föryngringsavverkning</t>
        </is>
      </c>
      <c r="D36" s="1" t="n">
        <v>44930</v>
      </c>
      <c r="E36" s="1" t="n">
        <v>46316</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52997-2025</t>
        </is>
      </c>
      <c r="B37" t="inlineStr">
        <is>
          <t>avverkningsanmälan</t>
        </is>
      </c>
      <c r="C37" t="inlineStr">
        <is>
          <t>Föryngringsavverkning</t>
        </is>
      </c>
      <c r="D37" s="1" t="n">
        <v>45957</v>
      </c>
      <c r="E37" s="1" t="n">
        <v>46316</v>
      </c>
      <c r="F37" t="inlineStr">
        <is>
          <t>SÖDERMANLANDS LÄN</t>
        </is>
      </c>
      <c r="G37" t="inlineStr">
        <is>
          <t>STRÄNGNÄS</t>
        </is>
      </c>
      <c r="I37" t="n">
        <v>1.4</v>
      </c>
      <c r="J37" t="n">
        <v>1</v>
      </c>
      <c r="K37" t="n">
        <v>0</v>
      </c>
      <c r="L37" t="n">
        <v>0</v>
      </c>
      <c r="M37" t="n">
        <v>1</v>
      </c>
      <c r="N37" t="n">
        <v>0</v>
      </c>
      <c r="O37" t="n">
        <v>0</v>
      </c>
      <c r="P37" t="n">
        <v>0</v>
      </c>
      <c r="Q37" t="n">
        <v>1</v>
      </c>
      <c r="R37" t="n">
        <v>1</v>
      </c>
      <c r="S37" t="n">
        <v>1</v>
      </c>
      <c r="T37" t="n">
        <v>1</v>
      </c>
      <c r="U37" t="n">
        <v>0</v>
      </c>
      <c r="V37" s="2" t="inlineStr">
        <is>
          <t>Knärot</t>
        </is>
      </c>
      <c r="W37">
        <f>HYPERLINK("https://klasma.github.io/Logging_0486/artfynd/A 52997-2025 artfynd.xlsx", "A 52997-2025")</f>
        <v/>
      </c>
      <c r="X37">
        <f>HYPERLINK("https://klasma.github.io/Logging_0486/kartor/A 52997-2025 karta.png", "A 52997-2025")</f>
        <v/>
      </c>
      <c r="Y37">
        <f>HYPERLINK("https://klasma.github.io/Logging_0486/kartor_geotiff/A 52997-2025 georefererad karta.tif", "A 52997-2025")</f>
        <v/>
      </c>
      <c r="Z37">
        <f>HYPERLINK("https://klasma.github.io/Logging_0486/knärot/A 52997-2025 karta knärot.png", "A 52997-2025")</f>
        <v/>
      </c>
      <c r="AA37">
        <f>HYPERLINK("https://klasma.github.io/Logging_0486/klagomål/A 52997-2025 FSC-klagomål.docx", "A 52997-2025")</f>
        <v/>
      </c>
      <c r="AB37">
        <f>HYPERLINK("https://klasma.github.io/Logging_0486/klagomålsmail/A 52997-2025 FSC-klagomål mail.docx", "A 52997-2025")</f>
        <v/>
      </c>
      <c r="AC37">
        <f>HYPERLINK("https://klasma.github.io/Logging_0486/tillsyn/A 52997-2025 tillsynsbegäran.docx", "A 52997-2025")</f>
        <v/>
      </c>
      <c r="AD37">
        <f>HYPERLINK("https://klasma.github.io/Logging_0486/tillsynsmail/A 52997-2025 tillsynsbegäran mail.docx", "A 52997-2025")</f>
        <v/>
      </c>
    </row>
    <row r="38" ht="15" customHeight="1">
      <c r="A38" t="inlineStr">
        <is>
          <t>A 42527-2025</t>
        </is>
      </c>
      <c r="B38" t="inlineStr">
        <is>
          <t>avverkningsanmälan</t>
        </is>
      </c>
      <c r="C38" t="inlineStr">
        <is>
          <t>Föryngringsavverkning</t>
        </is>
      </c>
      <c r="D38" s="1" t="n">
        <v>45905</v>
      </c>
      <c r="E38" s="1" t="n">
        <v>46316</v>
      </c>
      <c r="F38" t="inlineStr">
        <is>
          <t>SÖDERMANLANDS LÄN</t>
        </is>
      </c>
      <c r="G38" t="inlineStr">
        <is>
          <t>STRÄNGNÄS</t>
        </is>
      </c>
      <c r="H38" t="inlineStr">
        <is>
          <t>Allmännings- och besparingsskogar</t>
        </is>
      </c>
      <c r="I38" t="n">
        <v>3.2</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HYPERLINK("https://klasma.github.io/Logging_0486/artfynd/A 42527-2025 artfynd.xlsx", "A 42527-2025")</f>
        <v/>
      </c>
      <c r="X38">
        <f>HYPERLINK("https://klasma.github.io/Logging_0486/kartor/A 42527-2025 karta.png", "A 42527-2025")</f>
        <v/>
      </c>
      <c r="Y38">
        <f>HYPERLINK("https://klasma.github.io/Logging_0486/kartor_geotiff/A 42527-2025 georefererad karta.tif", "A 42527-2025")</f>
        <v/>
      </c>
      <c r="AA38">
        <f>HYPERLINK("https://klasma.github.io/Logging_0486/klagomål/A 42527-2025 FSC-klagomål.docx", "A 42527-2025")</f>
        <v/>
      </c>
      <c r="AB38">
        <f>HYPERLINK("https://klasma.github.io/Logging_0486/klagomålsmail/A 42527-2025 FSC-klagomål mail.docx", "A 42527-2025")</f>
        <v/>
      </c>
      <c r="AC38">
        <f>HYPERLINK("https://klasma.github.io/Logging_0486/tillsyn/A 42527-2025 tillsynsbegäran.docx", "A 42527-2025")</f>
        <v/>
      </c>
      <c r="AD38">
        <f>HYPERLINK("https://klasma.github.io/Logging_0486/tillsynsmail/A 42527-2025 tillsynsbegäran mail.docx", "A 42527-2025")</f>
        <v/>
      </c>
    </row>
    <row r="39" ht="15" customHeight="1">
      <c r="A39" t="inlineStr">
        <is>
          <t>A 52320-2023</t>
        </is>
      </c>
      <c r="B39" t="inlineStr">
        <is>
          <t>avverkningsanmälan</t>
        </is>
      </c>
      <c r="C39" t="inlineStr">
        <is>
          <t>Föryngringsavverkning</t>
        </is>
      </c>
      <c r="D39" s="1" t="n">
        <v>45224</v>
      </c>
      <c r="E39" s="1" t="n">
        <v>46316</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18879-2023</t>
        </is>
      </c>
      <c r="B40" t="inlineStr">
        <is>
          <t>avverkningsanmälan</t>
        </is>
      </c>
      <c r="C40" t="inlineStr">
        <is>
          <t>Föryngringsavverkning</t>
        </is>
      </c>
      <c r="D40" s="1" t="n">
        <v>45044</v>
      </c>
      <c r="E40" s="1" t="n">
        <v>46316</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24454-2022</t>
        </is>
      </c>
      <c r="B41" t="inlineStr">
        <is>
          <t>avverkningsanmälan</t>
        </is>
      </c>
      <c r="C41" t="inlineStr">
        <is>
          <t>Föryngringsavverkning</t>
        </is>
      </c>
      <c r="D41" s="1" t="n">
        <v>44726</v>
      </c>
      <c r="E41" s="1" t="n">
        <v>46316</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43391-2025</t>
        </is>
      </c>
      <c r="B42" t="inlineStr">
        <is>
          <t>avverkningsanmälan</t>
        </is>
      </c>
      <c r="C42" t="inlineStr">
        <is>
          <t>Föryngringsavverkning</t>
        </is>
      </c>
      <c r="D42" s="1" t="n">
        <v>45911</v>
      </c>
      <c r="E42" s="1" t="n">
        <v>46316</v>
      </c>
      <c r="F42" t="inlineStr">
        <is>
          <t>SÖDERMANLANDS LÄN</t>
        </is>
      </c>
      <c r="G42" t="inlineStr">
        <is>
          <t>STRÄNGNÄS</t>
        </is>
      </c>
      <c r="I42" t="n">
        <v>4.3</v>
      </c>
      <c r="J42" t="n">
        <v>1</v>
      </c>
      <c r="K42" t="n">
        <v>0</v>
      </c>
      <c r="L42" t="n">
        <v>1</v>
      </c>
      <c r="M42" t="n">
        <v>0</v>
      </c>
      <c r="N42" t="n">
        <v>0</v>
      </c>
      <c r="O42" t="n">
        <v>0</v>
      </c>
      <c r="P42" t="n">
        <v>0</v>
      </c>
      <c r="Q42" t="n">
        <v>1</v>
      </c>
      <c r="R42" t="n">
        <v>0</v>
      </c>
      <c r="S42" t="n">
        <v>1</v>
      </c>
      <c r="T42" t="n">
        <v>1</v>
      </c>
      <c r="U42" t="n">
        <v>0</v>
      </c>
      <c r="V42" s="2" t="inlineStr">
        <is>
          <t>Göktyta</t>
        </is>
      </c>
      <c r="W42">
        <f>HYPERLINK("https://klasma.github.io/Logging_0486/artfynd/A 43391-2025 artfynd.xlsx", "A 43391-2025")</f>
        <v/>
      </c>
      <c r="X42">
        <f>HYPERLINK("https://klasma.github.io/Logging_0486/kartor/A 43391-2025 karta.png", "A 43391-2025")</f>
        <v/>
      </c>
      <c r="Y42">
        <f>HYPERLINK("https://klasma.github.io/Logging_0486/kartor_geotiff/A 43391-2025 georefererad karta.tif", "A 43391-2025")</f>
        <v/>
      </c>
      <c r="AA42">
        <f>HYPERLINK("https://klasma.github.io/Logging_0486/klagomål/A 43391-2025 FSC-klagomål.docx", "A 43391-2025")</f>
        <v/>
      </c>
      <c r="AB42">
        <f>HYPERLINK("https://klasma.github.io/Logging_0486/klagomålsmail/A 43391-2025 FSC-klagomål mail.docx", "A 43391-2025")</f>
        <v/>
      </c>
      <c r="AC42">
        <f>HYPERLINK("https://klasma.github.io/Logging_0486/tillsyn/A 43391-2025 tillsynsbegäran.docx", "A 43391-2025")</f>
        <v/>
      </c>
      <c r="AD42">
        <f>HYPERLINK("https://klasma.github.io/Logging_0486/tillsynsmail/A 43391-2025 tillsynsbegäran mail.docx", "A 43391-2025")</f>
        <v/>
      </c>
      <c r="AE42">
        <f>HYPERLINK("https://klasma.github.io/Logging_0486/fåglar/A 43391-2025 prioriterade fågelarter.docx", "A 43391-2025")</f>
        <v/>
      </c>
    </row>
    <row r="43" ht="15" customHeight="1">
      <c r="A43" t="inlineStr">
        <is>
          <t>A 41511-2022</t>
        </is>
      </c>
      <c r="B43" t="inlineStr">
        <is>
          <t>avverkningsanmälan</t>
        </is>
      </c>
      <c r="C43" t="inlineStr">
        <is>
          <t>Föryngringsavverkning</t>
        </is>
      </c>
      <c r="D43" s="1" t="n">
        <v>44827</v>
      </c>
      <c r="E43" s="1" t="n">
        <v>46316</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46316</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35360-2024</t>
        </is>
      </c>
      <c r="B45" t="inlineStr">
        <is>
          <t>avverkningsanmälan</t>
        </is>
      </c>
      <c r="C45" t="inlineStr">
        <is>
          <t>Föryngringsavverkning</t>
        </is>
      </c>
      <c r="D45" s="1" t="n">
        <v>45531</v>
      </c>
      <c r="E45" s="1" t="n">
        <v>46316</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46316</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52355-2023</t>
        </is>
      </c>
      <c r="B47" t="inlineStr">
        <is>
          <t>avverkningsanmälan</t>
        </is>
      </c>
      <c r="C47" t="inlineStr">
        <is>
          <t>Föryngringsavverkning</t>
        </is>
      </c>
      <c r="D47" s="1" t="n">
        <v>45224</v>
      </c>
      <c r="E47" s="1" t="n">
        <v>46316</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53488-2022</t>
        </is>
      </c>
      <c r="B48" t="inlineStr">
        <is>
          <t>avverkningsanmälan</t>
        </is>
      </c>
      <c r="C48" t="inlineStr">
        <is>
          <t>Föryngringsavverkning</t>
        </is>
      </c>
      <c r="D48" s="1" t="n">
        <v>44874</v>
      </c>
      <c r="E48" s="1" t="n">
        <v>46316</v>
      </c>
      <c r="F48" t="inlineStr">
        <is>
          <t>SÖDERMANLANDS LÄN</t>
        </is>
      </c>
      <c r="G48" t="inlineStr">
        <is>
          <t>STRÄNGNÄS</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14024-2022</t>
        </is>
      </c>
      <c r="B49" t="inlineStr">
        <is>
          <t>avverkningsanmälan</t>
        </is>
      </c>
      <c r="C49" t="inlineStr">
        <is>
          <t>Föryngringsavverkning</t>
        </is>
      </c>
      <c r="D49" s="1" t="n">
        <v>44650</v>
      </c>
      <c r="E49" s="1" t="n">
        <v>46316</v>
      </c>
      <c r="F49" t="inlineStr">
        <is>
          <t>SÖDERMANLANDS LÄN</t>
        </is>
      </c>
      <c r="G49" t="inlineStr">
        <is>
          <t>STRÄNGNÄS</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46316</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46316</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46316</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46316</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46316</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46316</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46316</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73092-2021</t>
        </is>
      </c>
      <c r="B57" t="inlineStr">
        <is>
          <t>avverkningsanmälan</t>
        </is>
      </c>
      <c r="C57" t="inlineStr">
        <is>
          <t>Föryngringsavverkning</t>
        </is>
      </c>
      <c r="D57" s="1" t="n">
        <v>44550</v>
      </c>
      <c r="E57" s="1" t="n">
        <v>46316</v>
      </c>
      <c r="F57" t="inlineStr">
        <is>
          <t>SÖDERMANLANDS LÄN</t>
        </is>
      </c>
      <c r="G57" t="inlineStr">
        <is>
          <t>STRÄNGNÄS</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7923-2022</t>
        </is>
      </c>
      <c r="B58" t="inlineStr">
        <is>
          <t>avverkningsanmälan</t>
        </is>
      </c>
      <c r="C58" t="inlineStr">
        <is>
          <t>Föryngringsavverkning</t>
        </is>
      </c>
      <c r="D58" s="1" t="n">
        <v>44608</v>
      </c>
      <c r="E58" s="1" t="n">
        <v>46316</v>
      </c>
      <c r="F58" t="inlineStr">
        <is>
          <t>SÖDERMANLANDS LÄN</t>
        </is>
      </c>
      <c r="G58" t="inlineStr">
        <is>
          <t>STRÄNGNÄS</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46316</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46316</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46316</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46316</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46316</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46316</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46316</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46316</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46316</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46316</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46316</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46316</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46316</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46316</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46316</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46316</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46316</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46316</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46316</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9158-2022</t>
        </is>
      </c>
      <c r="B78" t="inlineStr">
        <is>
          <t>avverkningsanmälan</t>
        </is>
      </c>
      <c r="C78" t="inlineStr">
        <is>
          <t>Föryngringsavverkning</t>
        </is>
      </c>
      <c r="D78" s="1" t="n">
        <v>44615</v>
      </c>
      <c r="E78" s="1" t="n">
        <v>46316</v>
      </c>
      <c r="F78" t="inlineStr">
        <is>
          <t>SÖDERMANLANDS LÄN</t>
        </is>
      </c>
      <c r="G78" t="inlineStr">
        <is>
          <t>STRÄNGNÄS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46316</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46316</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46316</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51762-2022</t>
        </is>
      </c>
      <c r="B82" t="inlineStr">
        <is>
          <t>avverkningsanmälan</t>
        </is>
      </c>
      <c r="C82" t="inlineStr">
        <is>
          <t>Föryngringsavverkning</t>
        </is>
      </c>
      <c r="D82" s="1" t="n">
        <v>44872</v>
      </c>
      <c r="E82" s="1" t="n">
        <v>46316</v>
      </c>
      <c r="F82" t="inlineStr">
        <is>
          <t>SÖDERMANLANDS LÄN</t>
        </is>
      </c>
      <c r="G82" t="inlineStr">
        <is>
          <t>STRÄNGNÄS</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9607-2022</t>
        </is>
      </c>
      <c r="B83" t="inlineStr">
        <is>
          <t>avverkningsanmälan</t>
        </is>
      </c>
      <c r="C83" t="inlineStr">
        <is>
          <t>Föryngringsavverkning</t>
        </is>
      </c>
      <c r="D83" s="1" t="n">
        <v>44617</v>
      </c>
      <c r="E83" s="1" t="n">
        <v>46316</v>
      </c>
      <c r="F83" t="inlineStr">
        <is>
          <t>SÖDERMANLANDS LÄN</t>
        </is>
      </c>
      <c r="G83" t="inlineStr">
        <is>
          <t>STRÄNGNÄS</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46316</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46316</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9234-2023</t>
        </is>
      </c>
      <c r="B86" t="inlineStr">
        <is>
          <t>avverkningsanmälan</t>
        </is>
      </c>
      <c r="C86" t="inlineStr">
        <is>
          <t>Föryngringsavverkning</t>
        </is>
      </c>
      <c r="D86" s="1" t="n">
        <v>44980</v>
      </c>
      <c r="E86" s="1" t="n">
        <v>46316</v>
      </c>
      <c r="F86" t="inlineStr">
        <is>
          <t>SÖDERMANLANDS LÄN</t>
        </is>
      </c>
      <c r="G86" t="inlineStr">
        <is>
          <t>STRÄNGNÄS</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65160-2023</t>
        </is>
      </c>
      <c r="B87" t="inlineStr">
        <is>
          <t>avverkningsanmälan</t>
        </is>
      </c>
      <c r="C87" t="inlineStr">
        <is>
          <t>Föryngringsavverkning</t>
        </is>
      </c>
      <c r="D87" s="1" t="n">
        <v>45288</v>
      </c>
      <c r="E87" s="1" t="n">
        <v>46316</v>
      </c>
      <c r="F87" t="inlineStr">
        <is>
          <t>SÖDERMANLANDS LÄN</t>
        </is>
      </c>
      <c r="G87" t="inlineStr">
        <is>
          <t>STRÄNGNÄS</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65163-2023</t>
        </is>
      </c>
      <c r="B88" t="inlineStr">
        <is>
          <t>avverkningsanmälan</t>
        </is>
      </c>
      <c r="C88" t="inlineStr">
        <is>
          <t>Föryngringsavverkning</t>
        </is>
      </c>
      <c r="D88" s="1" t="n">
        <v>45288</v>
      </c>
      <c r="E88" s="1" t="n">
        <v>46316</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13807-2023</t>
        </is>
      </c>
      <c r="B89" t="inlineStr">
        <is>
          <t>avverkningsanmälan</t>
        </is>
      </c>
      <c r="C89" t="inlineStr">
        <is>
          <t>Föryngringsavverkning</t>
        </is>
      </c>
      <c r="D89" s="1" t="n">
        <v>45007</v>
      </c>
      <c r="E89" s="1" t="n">
        <v>46316</v>
      </c>
      <c r="F89" t="inlineStr">
        <is>
          <t>SÖDERMANLANDS LÄN</t>
        </is>
      </c>
      <c r="G89" t="inlineStr">
        <is>
          <t>STRÄNGNÄS</t>
        </is>
      </c>
      <c r="H89" t="inlineStr">
        <is>
          <t>Allmännings- och besparingsskogar</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46316</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46316</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46316</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43946-2022</t>
        </is>
      </c>
      <c r="B93" t="inlineStr">
        <is>
          <t>avverkningsanmälan</t>
        </is>
      </c>
      <c r="C93" t="inlineStr">
        <is>
          <t>Föryngringsavverkning</t>
        </is>
      </c>
      <c r="D93" s="1" t="n">
        <v>44838</v>
      </c>
      <c r="E93" s="1" t="n">
        <v>46316</v>
      </c>
      <c r="F93" t="inlineStr">
        <is>
          <t>SÖDERMANLANDS LÄN</t>
        </is>
      </c>
      <c r="G93" t="inlineStr">
        <is>
          <t>STRÄNGNÄS</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21126-2023</t>
        </is>
      </c>
      <c r="B94" t="inlineStr">
        <is>
          <t>avverkningsanmälan</t>
        </is>
      </c>
      <c r="C94" t="inlineStr">
        <is>
          <t>Föryngringsavverkning</t>
        </is>
      </c>
      <c r="D94" s="1" t="n">
        <v>45057</v>
      </c>
      <c r="E94" s="1" t="n">
        <v>46316</v>
      </c>
      <c r="F94" t="inlineStr">
        <is>
          <t>SÖDERMANLANDS LÄN</t>
        </is>
      </c>
      <c r="G94" t="inlineStr">
        <is>
          <t>STRÄNGNÄS</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2468-2022</t>
        </is>
      </c>
      <c r="B95" t="inlineStr">
        <is>
          <t>avverkningsanmälan</t>
        </is>
      </c>
      <c r="C95" t="inlineStr">
        <is>
          <t>Föryngringsavverkning</t>
        </is>
      </c>
      <c r="D95" s="1" t="n">
        <v>44579</v>
      </c>
      <c r="E95" s="1" t="n">
        <v>46316</v>
      </c>
      <c r="F95" t="inlineStr">
        <is>
          <t>SÖDERMANLANDS LÄN</t>
        </is>
      </c>
      <c r="G95" t="inlineStr">
        <is>
          <t>STRÄNGNÄS</t>
        </is>
      </c>
      <c r="H95" t="inlineStr">
        <is>
          <t>Övriga Aktiebolag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26282-2023</t>
        </is>
      </c>
      <c r="B96" t="inlineStr">
        <is>
          <t>avverkningsanmälan</t>
        </is>
      </c>
      <c r="C96" t="inlineStr">
        <is>
          <t>Föryngringsavverkning</t>
        </is>
      </c>
      <c r="D96" s="1" t="n">
        <v>45091</v>
      </c>
      <c r="E96" s="1" t="n">
        <v>46316</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42806-2023</t>
        </is>
      </c>
      <c r="B97" t="inlineStr">
        <is>
          <t>avverkningsanmälan</t>
        </is>
      </c>
      <c r="C97" t="inlineStr">
        <is>
          <t>Föryngringsavverkning</t>
        </is>
      </c>
      <c r="D97" s="1" t="n">
        <v>45182</v>
      </c>
      <c r="E97" s="1" t="n">
        <v>46316</v>
      </c>
      <c r="F97" t="inlineStr">
        <is>
          <t>SÖDERMANLANDS LÄN</t>
        </is>
      </c>
      <c r="G97" t="inlineStr">
        <is>
          <t>STRÄNGNÄS</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10867-2023</t>
        </is>
      </c>
      <c r="B98" t="inlineStr">
        <is>
          <t>avverkningsanmälan</t>
        </is>
      </c>
      <c r="C98" t="inlineStr">
        <is>
          <t>Föryngringsavverkning</t>
        </is>
      </c>
      <c r="D98" s="1" t="n">
        <v>44991</v>
      </c>
      <c r="E98" s="1" t="n">
        <v>46316</v>
      </c>
      <c r="F98" t="inlineStr">
        <is>
          <t>SÖDERMANLANDS LÄN</t>
        </is>
      </c>
      <c r="G98" t="inlineStr">
        <is>
          <t>STRÄNGNÄS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18508-2024</t>
        </is>
      </c>
      <c r="B99" t="inlineStr">
        <is>
          <t>avverkningsanmälan</t>
        </is>
      </c>
      <c r="C99" t="inlineStr">
        <is>
          <t>Föryngringsavverkning</t>
        </is>
      </c>
      <c r="D99" s="1" t="n">
        <v>45425</v>
      </c>
      <c r="E99" s="1" t="n">
        <v>46316</v>
      </c>
      <c r="F99" t="inlineStr">
        <is>
          <t>SÖDERMANLANDS LÄN</t>
        </is>
      </c>
      <c r="G99" t="inlineStr">
        <is>
          <t>STRÄNGNÄS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11243-2023</t>
        </is>
      </c>
      <c r="B100" t="inlineStr">
        <is>
          <t>avverkningsanmälan</t>
        </is>
      </c>
      <c r="C100" t="inlineStr">
        <is>
          <t>Avverkning för annat ändamål</t>
        </is>
      </c>
      <c r="D100" s="1" t="n">
        <v>44992</v>
      </c>
      <c r="E100" s="1" t="n">
        <v>46316</v>
      </c>
      <c r="F100" t="inlineStr">
        <is>
          <t>SÖDERMANLANDS LÄN</t>
        </is>
      </c>
      <c r="G100" t="inlineStr">
        <is>
          <t>STRÄNGNÄS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46316</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46316</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57231-2024</t>
        </is>
      </c>
      <c r="B103" t="inlineStr">
        <is>
          <t>avverkningsanmälan</t>
        </is>
      </c>
      <c r="C103" t="inlineStr">
        <is>
          <t>Föryngringsavverkning</t>
        </is>
      </c>
      <c r="D103" s="1" t="n">
        <v>45629</v>
      </c>
      <c r="E103" s="1" t="n">
        <v>46316</v>
      </c>
      <c r="F103" t="inlineStr">
        <is>
          <t>SÖDERMANLANDS LÄN</t>
        </is>
      </c>
      <c r="G103" t="inlineStr">
        <is>
          <t>STRÄNGNÄS</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41231-2025</t>
        </is>
      </c>
      <c r="B104" t="inlineStr">
        <is>
          <t>avverkningsanmälan</t>
        </is>
      </c>
      <c r="C104" t="inlineStr">
        <is>
          <t>Avverkning för annat ändamål</t>
        </is>
      </c>
      <c r="D104" s="1" t="n">
        <v>45898</v>
      </c>
      <c r="E104" s="1" t="n">
        <v>46316</v>
      </c>
      <c r="F104" t="inlineStr">
        <is>
          <t>SÖDERMANLANDS LÄN</t>
        </is>
      </c>
      <c r="G104" t="inlineStr">
        <is>
          <t>STRÄNGNÄS</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24823-2025</t>
        </is>
      </c>
      <c r="B105" t="inlineStr">
        <is>
          <t>avverkningsanmälan</t>
        </is>
      </c>
      <c r="C105" t="inlineStr">
        <is>
          <t>Föryngringsavverkning</t>
        </is>
      </c>
      <c r="D105" s="1" t="n">
        <v>45799</v>
      </c>
      <c r="E105" s="1" t="n">
        <v>46316</v>
      </c>
      <c r="F105" t="inlineStr">
        <is>
          <t>SÖDERMANLANDS LÄN</t>
        </is>
      </c>
      <c r="G105" t="inlineStr">
        <is>
          <t>STRÄNGNÄS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864-2023</t>
        </is>
      </c>
      <c r="B106" t="inlineStr">
        <is>
          <t>avverkningsanmälan</t>
        </is>
      </c>
      <c r="C106" t="inlineStr">
        <is>
          <t>Föryngringsavverkning</t>
        </is>
      </c>
      <c r="D106" s="1" t="n">
        <v>44931</v>
      </c>
      <c r="E106" s="1" t="n">
        <v>46316</v>
      </c>
      <c r="F106" t="inlineStr">
        <is>
          <t>SÖDERMANLANDS LÄN</t>
        </is>
      </c>
      <c r="G106" t="inlineStr">
        <is>
          <t>STRÄNGNÄS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62988-2025</t>
        </is>
      </c>
      <c r="B107" t="inlineStr">
        <is>
          <t>avverkningsanmälan</t>
        </is>
      </c>
      <c r="C107" t="inlineStr">
        <is>
          <t>Föryngringsavverkning</t>
        </is>
      </c>
      <c r="D107" s="1" t="n">
        <v>46009</v>
      </c>
      <c r="E107" s="1" t="n">
        <v>46316</v>
      </c>
      <c r="F107" t="inlineStr">
        <is>
          <t>SÖDERMANLANDS LÄN</t>
        </is>
      </c>
      <c r="G107" t="inlineStr">
        <is>
          <t>STRÄNGNÄS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42726-2023</t>
        </is>
      </c>
      <c r="B108" t="inlineStr">
        <is>
          <t>avverkningsanmälan</t>
        </is>
      </c>
      <c r="C108" t="inlineStr">
        <is>
          <t>Föryngringsavverkning</t>
        </is>
      </c>
      <c r="D108" s="1" t="n">
        <v>45181</v>
      </c>
      <c r="E108" s="1" t="n">
        <v>46316</v>
      </c>
      <c r="F108" t="inlineStr">
        <is>
          <t>SÖDERMANLANDS LÄN</t>
        </is>
      </c>
      <c r="G108" t="inlineStr">
        <is>
          <t>STRÄNGNÄS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1117-2022</t>
        </is>
      </c>
      <c r="B109" t="inlineStr">
        <is>
          <t>avverkningsanmälan</t>
        </is>
      </c>
      <c r="C109" t="inlineStr">
        <is>
          <t>Föryngringsavverkning</t>
        </is>
      </c>
      <c r="D109" s="1" t="n">
        <v>44571</v>
      </c>
      <c r="E109" s="1" t="n">
        <v>46316</v>
      </c>
      <c r="F109" t="inlineStr">
        <is>
          <t>SÖDERMANLANDS LÄN</t>
        </is>
      </c>
      <c r="G109" t="inlineStr">
        <is>
          <t>STRÄNGNÄS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63732-2021</t>
        </is>
      </c>
      <c r="B110" t="inlineStr">
        <is>
          <t>avverkningsanmälan</t>
        </is>
      </c>
      <c r="C110" t="inlineStr">
        <is>
          <t>Föryngringsavverkning</t>
        </is>
      </c>
      <c r="D110" s="1" t="n">
        <v>44508</v>
      </c>
      <c r="E110" s="1" t="n">
        <v>46316</v>
      </c>
      <c r="F110" t="inlineStr">
        <is>
          <t>SÖDERMANLANDS LÄN</t>
        </is>
      </c>
      <c r="G110" t="inlineStr">
        <is>
          <t>STRÄNGNÄS</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40112-2025</t>
        </is>
      </c>
      <c r="B111" t="inlineStr">
        <is>
          <t>avverkningsanmälan</t>
        </is>
      </c>
      <c r="C111" t="inlineStr">
        <is>
          <t>Föryngringsavverkning</t>
        </is>
      </c>
      <c r="D111" s="1" t="n">
        <v>45894</v>
      </c>
      <c r="E111" s="1" t="n">
        <v>46316</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60748-2021</t>
        </is>
      </c>
      <c r="B112" t="inlineStr">
        <is>
          <t>avverkningsanmälan</t>
        </is>
      </c>
      <c r="C112" t="inlineStr">
        <is>
          <t>Föryngringsavverkning</t>
        </is>
      </c>
      <c r="D112" s="1" t="n">
        <v>44496</v>
      </c>
      <c r="E112" s="1" t="n">
        <v>46316</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46882-2023</t>
        </is>
      </c>
      <c r="B113" t="inlineStr">
        <is>
          <t>avverkningsanmälan</t>
        </is>
      </c>
      <c r="C113" t="inlineStr">
        <is>
          <t>Föryngringsavverkning</t>
        </is>
      </c>
      <c r="D113" s="1" t="n">
        <v>45201</v>
      </c>
      <c r="E113" s="1" t="n">
        <v>46316</v>
      </c>
      <c r="F113" t="inlineStr">
        <is>
          <t>SÖDERMANLANDS LÄN</t>
        </is>
      </c>
      <c r="G113" t="inlineStr">
        <is>
          <t>STRÄNGNÄS</t>
        </is>
      </c>
      <c r="I113" t="n">
        <v>8.5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1209-2026</t>
        </is>
      </c>
      <c r="B114" t="inlineStr">
        <is>
          <t>avverkningsanmälan</t>
        </is>
      </c>
      <c r="C114" t="inlineStr">
        <is>
          <t>Föryngringsavverkning</t>
        </is>
      </c>
      <c r="D114" s="1" t="n">
        <v>46031</v>
      </c>
      <c r="E114" s="1" t="n">
        <v>46316</v>
      </c>
      <c r="F114" t="inlineStr">
        <is>
          <t>SÖDERMANLANDS LÄN</t>
        </is>
      </c>
      <c r="G114" t="inlineStr">
        <is>
          <t>STRÄNGNÄS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15087-2025</t>
        </is>
      </c>
      <c r="B115" t="inlineStr">
        <is>
          <t>avverkningsanmälan</t>
        </is>
      </c>
      <c r="C115" t="inlineStr">
        <is>
          <t>Föryngringsavverkning</t>
        </is>
      </c>
      <c r="D115" s="1" t="n">
        <v>45743</v>
      </c>
      <c r="E115" s="1" t="n">
        <v>46316</v>
      </c>
      <c r="F115" t="inlineStr">
        <is>
          <t>SÖDERMANLANDS LÄN</t>
        </is>
      </c>
      <c r="G115" t="inlineStr">
        <is>
          <t>STRÄNGNÄS</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1108-2026</t>
        </is>
      </c>
      <c r="B116" t="inlineStr">
        <is>
          <t>avverkningsanmälan</t>
        </is>
      </c>
      <c r="C116" t="inlineStr">
        <is>
          <t>Föryngringsavverkning</t>
        </is>
      </c>
      <c r="D116" s="1" t="n">
        <v>46030</v>
      </c>
      <c r="E116" s="1" t="n">
        <v>46316</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1313-2026</t>
        </is>
      </c>
      <c r="B117" t="inlineStr">
        <is>
          <t>avverkningsanmälan</t>
        </is>
      </c>
      <c r="C117" t="inlineStr">
        <is>
          <t>Föryngringsavverkning</t>
        </is>
      </c>
      <c r="D117" s="1" t="n">
        <v>46031</v>
      </c>
      <c r="E117" s="1" t="n">
        <v>46316</v>
      </c>
      <c r="F117" t="inlineStr">
        <is>
          <t>SÖDERMANLANDS LÄN</t>
        </is>
      </c>
      <c r="G117" t="inlineStr">
        <is>
          <t>STRÄNGNÄS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1018-2026</t>
        </is>
      </c>
      <c r="B118" t="inlineStr">
        <is>
          <t>avverkningsanmälan</t>
        </is>
      </c>
      <c r="C118" t="inlineStr">
        <is>
          <t>Föryngringsavverkning</t>
        </is>
      </c>
      <c r="D118" s="1" t="n">
        <v>46030</v>
      </c>
      <c r="E118" s="1" t="n">
        <v>46316</v>
      </c>
      <c r="F118" t="inlineStr">
        <is>
          <t>SÖDERMANLANDS LÄN</t>
        </is>
      </c>
      <c r="G118" t="inlineStr">
        <is>
          <t>STRÄNGNÄS</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1680-2026</t>
        </is>
      </c>
      <c r="B119" t="inlineStr">
        <is>
          <t>avverkningsanmälan</t>
        </is>
      </c>
      <c r="C119" t="inlineStr">
        <is>
          <t>Föryngringsavverkning</t>
        </is>
      </c>
      <c r="D119" s="1" t="n">
        <v>46034</v>
      </c>
      <c r="E119" s="1" t="n">
        <v>46316</v>
      </c>
      <c r="F119" t="inlineStr">
        <is>
          <t>SÖDERMANLANDS LÄN</t>
        </is>
      </c>
      <c r="G119" t="inlineStr">
        <is>
          <t>STRÄNGNÄS</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1718-2026</t>
        </is>
      </c>
      <c r="B120" t="inlineStr">
        <is>
          <t>avverkningsanmälan</t>
        </is>
      </c>
      <c r="C120" t="inlineStr">
        <is>
          <t>Föryngringsavverkning</t>
        </is>
      </c>
      <c r="D120" s="1" t="n">
        <v>46034</v>
      </c>
      <c r="E120" s="1" t="n">
        <v>46316</v>
      </c>
      <c r="F120" t="inlineStr">
        <is>
          <t>SÖDERMANLANDS LÄN</t>
        </is>
      </c>
      <c r="G120" t="inlineStr">
        <is>
          <t>STRÄNGNÄS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1892-2026</t>
        </is>
      </c>
      <c r="B121" t="inlineStr">
        <is>
          <t>avverkningsanmälan</t>
        </is>
      </c>
      <c r="C121" t="inlineStr">
        <is>
          <t>Föryngringsavverkning</t>
        </is>
      </c>
      <c r="D121" s="1" t="n">
        <v>46035</v>
      </c>
      <c r="E121" s="1" t="n">
        <v>46316</v>
      </c>
      <c r="F121" t="inlineStr">
        <is>
          <t>SÖDERMANLANDS LÄN</t>
        </is>
      </c>
      <c r="G121" t="inlineStr">
        <is>
          <t>STRÄNGNÄS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1511-2026</t>
        </is>
      </c>
      <c r="B122" t="inlineStr">
        <is>
          <t>avverkningsanmälan</t>
        </is>
      </c>
      <c r="C122" t="inlineStr">
        <is>
          <t>Föryngringsavverkning</t>
        </is>
      </c>
      <c r="D122" s="1" t="n">
        <v>46034</v>
      </c>
      <c r="E122" s="1" t="n">
        <v>46316</v>
      </c>
      <c r="F122" t="inlineStr">
        <is>
          <t>SÖDERMANLANDS LÄN</t>
        </is>
      </c>
      <c r="G122" t="inlineStr">
        <is>
          <t>STRÄNGNÄS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1553-2026</t>
        </is>
      </c>
      <c r="B123" t="inlineStr">
        <is>
          <t>avverkningsanmälan</t>
        </is>
      </c>
      <c r="C123" t="inlineStr">
        <is>
          <t>Föryngringsavverkning</t>
        </is>
      </c>
      <c r="D123" s="1" t="n">
        <v>46034</v>
      </c>
      <c r="E123" s="1" t="n">
        <v>46316</v>
      </c>
      <c r="F123" t="inlineStr">
        <is>
          <t>SÖDERMANLANDS LÄN</t>
        </is>
      </c>
      <c r="G123" t="inlineStr">
        <is>
          <t>STRÄNGNÄS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2007-2026</t>
        </is>
      </c>
      <c r="B124" t="inlineStr">
        <is>
          <t>avverkningsanmälan</t>
        </is>
      </c>
      <c r="C124" t="inlineStr">
        <is>
          <t>Föryngringsavverkning</t>
        </is>
      </c>
      <c r="D124" s="1" t="n">
        <v>46035</v>
      </c>
      <c r="E124" s="1" t="n">
        <v>46316</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1757-2026</t>
        </is>
      </c>
      <c r="B125" t="inlineStr">
        <is>
          <t>avverkningsanmälan</t>
        </is>
      </c>
      <c r="C125" t="inlineStr">
        <is>
          <t>Föryngringsavverkning</t>
        </is>
      </c>
      <c r="D125" s="1" t="n">
        <v>46034</v>
      </c>
      <c r="E125" s="1" t="n">
        <v>46316</v>
      </c>
      <c r="F125" t="inlineStr">
        <is>
          <t>SÖDERMANLANDS LÄN</t>
        </is>
      </c>
      <c r="G125" t="inlineStr">
        <is>
          <t>STRÄNGNÄS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1624-2026</t>
        </is>
      </c>
      <c r="B126" t="inlineStr">
        <is>
          <t>avverkningsanmälan</t>
        </is>
      </c>
      <c r="C126" t="inlineStr">
        <is>
          <t>Föryngringsavverkning</t>
        </is>
      </c>
      <c r="D126" s="1" t="n">
        <v>46034</v>
      </c>
      <c r="E126" s="1" t="n">
        <v>46316</v>
      </c>
      <c r="F126" t="inlineStr">
        <is>
          <t>SÖDERMANLANDS LÄN</t>
        </is>
      </c>
      <c r="G126" t="inlineStr">
        <is>
          <t>STRÄNGNÄS</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1744-2026</t>
        </is>
      </c>
      <c r="B127" t="inlineStr">
        <is>
          <t>avverkningsanmälan</t>
        </is>
      </c>
      <c r="C127" t="inlineStr">
        <is>
          <t>Föryngringsavverkning</t>
        </is>
      </c>
      <c r="D127" s="1" t="n">
        <v>46034</v>
      </c>
      <c r="E127" s="1" t="n">
        <v>46316</v>
      </c>
      <c r="F127" t="inlineStr">
        <is>
          <t>SÖDERMANLANDS LÄN</t>
        </is>
      </c>
      <c r="G127" t="inlineStr">
        <is>
          <t>STRÄNGNÄS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1660-2026</t>
        </is>
      </c>
      <c r="B128" t="inlineStr">
        <is>
          <t>avverkningsanmälan</t>
        </is>
      </c>
      <c r="C128" t="inlineStr">
        <is>
          <t>Föryngringsavverkning</t>
        </is>
      </c>
      <c r="D128" s="1" t="n">
        <v>46034</v>
      </c>
      <c r="E128" s="1" t="n">
        <v>46316</v>
      </c>
      <c r="F128" t="inlineStr">
        <is>
          <t>SÖDERMANLANDS LÄN</t>
        </is>
      </c>
      <c r="G128" t="inlineStr">
        <is>
          <t>STRÄNGNÄS</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1915-2026</t>
        </is>
      </c>
      <c r="B129" t="inlineStr">
        <is>
          <t>avverkningsanmälan</t>
        </is>
      </c>
      <c r="C129" t="inlineStr">
        <is>
          <t>Föryngringsavverkning</t>
        </is>
      </c>
      <c r="D129" s="1" t="n">
        <v>46035</v>
      </c>
      <c r="E129" s="1" t="n">
        <v>46316</v>
      </c>
      <c r="F129" t="inlineStr">
        <is>
          <t>SÖDERMANLANDS LÄN</t>
        </is>
      </c>
      <c r="G129" t="inlineStr">
        <is>
          <t>STRÄNGNÄS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1496-2026</t>
        </is>
      </c>
      <c r="B130" t="inlineStr">
        <is>
          <t>avverkningsanmälan</t>
        </is>
      </c>
      <c r="C130" t="inlineStr">
        <is>
          <t>Föryngringsavverkning</t>
        </is>
      </c>
      <c r="D130" s="1" t="n">
        <v>46034</v>
      </c>
      <c r="E130" s="1" t="n">
        <v>46316</v>
      </c>
      <c r="F130" t="inlineStr">
        <is>
          <t>SÖDERMANLANDS LÄN</t>
        </is>
      </c>
      <c r="G130" t="inlineStr">
        <is>
          <t>STRÄNGNÄS</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2636-2026</t>
        </is>
      </c>
      <c r="B131" t="inlineStr">
        <is>
          <t>avverkningsanmälan</t>
        </is>
      </c>
      <c r="C131" t="inlineStr">
        <is>
          <t>Föryngringsavverkning</t>
        </is>
      </c>
      <c r="D131" s="1" t="n">
        <v>46037</v>
      </c>
      <c r="E131" s="1" t="n">
        <v>46316</v>
      </c>
      <c r="F131" t="inlineStr">
        <is>
          <t>SÖDERMANLANDS LÄN</t>
        </is>
      </c>
      <c r="G131" t="inlineStr">
        <is>
          <t>STRÄNGNÄS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2368-2026</t>
        </is>
      </c>
      <c r="B132" t="inlineStr">
        <is>
          <t>avverkningsanmälan</t>
        </is>
      </c>
      <c r="C132" t="inlineStr">
        <is>
          <t>Föryngringsavverkning</t>
        </is>
      </c>
      <c r="D132" s="1" t="n">
        <v>46036</v>
      </c>
      <c r="E132" s="1" t="n">
        <v>46316</v>
      </c>
      <c r="F132" t="inlineStr">
        <is>
          <t>SÖDERMANLANDS LÄN</t>
        </is>
      </c>
      <c r="G132" t="inlineStr">
        <is>
          <t>STRÄNGNÄS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2256-2026</t>
        </is>
      </c>
      <c r="B133" t="inlineStr">
        <is>
          <t>avverkningsanmälan</t>
        </is>
      </c>
      <c r="C133" t="inlineStr">
        <is>
          <t>Föryngringsavverkning</t>
        </is>
      </c>
      <c r="D133" s="1" t="n">
        <v>46036</v>
      </c>
      <c r="E133" s="1" t="n">
        <v>46316</v>
      </c>
      <c r="F133" t="inlineStr">
        <is>
          <t>SÖDERMANLANDS LÄN</t>
        </is>
      </c>
      <c r="G133" t="inlineStr">
        <is>
          <t>STRÄNGNÄS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2328-2026</t>
        </is>
      </c>
      <c r="B134" t="inlineStr">
        <is>
          <t>avverkningsanmälan</t>
        </is>
      </c>
      <c r="C134" t="inlineStr">
        <is>
          <t>Föryngringsavverkning</t>
        </is>
      </c>
      <c r="D134" s="1" t="n">
        <v>46036</v>
      </c>
      <c r="E134" s="1" t="n">
        <v>46316</v>
      </c>
      <c r="F134" t="inlineStr">
        <is>
          <t>SÖDERMANLANDS LÄN</t>
        </is>
      </c>
      <c r="G134" t="inlineStr">
        <is>
          <t>STRÄNGNÄS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2268-2026</t>
        </is>
      </c>
      <c r="B135" t="inlineStr">
        <is>
          <t>avverkningsanmälan</t>
        </is>
      </c>
      <c r="C135" t="inlineStr">
        <is>
          <t>Föryngringsavverkning</t>
        </is>
      </c>
      <c r="D135" s="1" t="n">
        <v>46036</v>
      </c>
      <c r="E135" s="1" t="n">
        <v>46316</v>
      </c>
      <c r="F135" t="inlineStr">
        <is>
          <t>SÖDERMANLANDS LÄN</t>
        </is>
      </c>
      <c r="G135" t="inlineStr">
        <is>
          <t>STRÄNGNÄS</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2302-2026</t>
        </is>
      </c>
      <c r="B136" t="inlineStr">
        <is>
          <t>avverkningsanmälan</t>
        </is>
      </c>
      <c r="C136" t="inlineStr">
        <is>
          <t>Föryngringsavverkning</t>
        </is>
      </c>
      <c r="D136" s="1" t="n">
        <v>46036</v>
      </c>
      <c r="E136" s="1" t="n">
        <v>46316</v>
      </c>
      <c r="F136" t="inlineStr">
        <is>
          <t>SÖDERMANLANDS LÄN</t>
        </is>
      </c>
      <c r="G136" t="inlineStr">
        <is>
          <t>STRÄNGNÄS</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3127-2026</t>
        </is>
      </c>
      <c r="B137" t="inlineStr">
        <is>
          <t>avverkningsanmälan</t>
        </is>
      </c>
      <c r="C137" t="inlineStr">
        <is>
          <t>Föryngringsavverkning</t>
        </is>
      </c>
      <c r="D137" s="1" t="n">
        <v>46041</v>
      </c>
      <c r="E137" s="1" t="n">
        <v>46316</v>
      </c>
      <c r="F137" t="inlineStr">
        <is>
          <t>SÖDERMANLANDS LÄN</t>
        </is>
      </c>
      <c r="G137" t="inlineStr">
        <is>
          <t>STRÄNGNÄS</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3207-2026</t>
        </is>
      </c>
      <c r="B138" t="inlineStr">
        <is>
          <t>avverkningsanmälan</t>
        </is>
      </c>
      <c r="C138" t="inlineStr">
        <is>
          <t>Föryngringsavverkning</t>
        </is>
      </c>
      <c r="D138" s="1" t="n">
        <v>46041</v>
      </c>
      <c r="E138" s="1" t="n">
        <v>46316</v>
      </c>
      <c r="F138" t="inlineStr">
        <is>
          <t>SÖDERMANLANDS LÄN</t>
        </is>
      </c>
      <c r="G138" t="inlineStr">
        <is>
          <t>STRÄNGNÄS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57484-2025</t>
        </is>
      </c>
      <c r="B139" t="inlineStr">
        <is>
          <t>avverkningsanmälan</t>
        </is>
      </c>
      <c r="C139" t="inlineStr">
        <is>
          <t>Avverkning för annat ändamål</t>
        </is>
      </c>
      <c r="D139" s="1" t="n">
        <v>45980</v>
      </c>
      <c r="E139" s="1" t="n">
        <v>46316</v>
      </c>
      <c r="F139" t="inlineStr">
        <is>
          <t>SÖDERMANLANDS LÄN</t>
        </is>
      </c>
      <c r="G139" t="inlineStr">
        <is>
          <t>STRÄNGNÄS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4151-2026</t>
        </is>
      </c>
      <c r="B140" t="inlineStr">
        <is>
          <t>avverkningsanmälan</t>
        </is>
      </c>
      <c r="C140" t="inlineStr">
        <is>
          <t>Föryngringsavverkning</t>
        </is>
      </c>
      <c r="D140" s="1" t="n">
        <v>46044</v>
      </c>
      <c r="E140" s="1" t="n">
        <v>46316</v>
      </c>
      <c r="F140" t="inlineStr">
        <is>
          <t>SÖDERMANLANDS LÄN</t>
        </is>
      </c>
      <c r="G140" t="inlineStr">
        <is>
          <t>STRÄNGNÄS</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4112-2026</t>
        </is>
      </c>
      <c r="B141" t="inlineStr">
        <is>
          <t>avverkningsanmälan</t>
        </is>
      </c>
      <c r="C141" t="inlineStr">
        <is>
          <t>Föryngringsavverkning</t>
        </is>
      </c>
      <c r="D141" s="1" t="n">
        <v>46044</v>
      </c>
      <c r="E141" s="1" t="n">
        <v>46316</v>
      </c>
      <c r="F141" t="inlineStr">
        <is>
          <t>SÖDERMANLANDS LÄN</t>
        </is>
      </c>
      <c r="G141" t="inlineStr">
        <is>
          <t>STRÄNGNÄS</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1977-2026</t>
        </is>
      </c>
      <c r="B142" t="inlineStr">
        <is>
          <t>avverkningsanmälan</t>
        </is>
      </c>
      <c r="C142" t="inlineStr">
        <is>
          <t>Föryngringsavverkning</t>
        </is>
      </c>
      <c r="D142" s="1" t="n">
        <v>46035</v>
      </c>
      <c r="E142" s="1" t="n">
        <v>46316</v>
      </c>
      <c r="F142" t="inlineStr">
        <is>
          <t>SÖDERMANLANDS LÄN</t>
        </is>
      </c>
      <c r="G142" t="inlineStr">
        <is>
          <t>STRÄNGNÄS</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30375-2022</t>
        </is>
      </c>
      <c r="B143" t="inlineStr">
        <is>
          <t>avverkningsanmälan</t>
        </is>
      </c>
      <c r="C143" t="inlineStr">
        <is>
          <t>Föryngringsavverkning</t>
        </is>
      </c>
      <c r="D143" s="1" t="n">
        <v>44760</v>
      </c>
      <c r="E143" s="1" t="n">
        <v>46316</v>
      </c>
      <c r="F143" t="inlineStr">
        <is>
          <t>SÖDERMANLANDS LÄN</t>
        </is>
      </c>
      <c r="G143" t="inlineStr">
        <is>
          <t>STRÄNGNÄS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43386-2022</t>
        </is>
      </c>
      <c r="B144" t="inlineStr">
        <is>
          <t>avverkningsanmälan</t>
        </is>
      </c>
      <c r="C144" t="inlineStr">
        <is>
          <t>Föryngringsavverkning</t>
        </is>
      </c>
      <c r="D144" s="1" t="n">
        <v>44834</v>
      </c>
      <c r="E144" s="1" t="n">
        <v>46316</v>
      </c>
      <c r="F144" t="inlineStr">
        <is>
          <t>SÖDERMANLANDS LÄN</t>
        </is>
      </c>
      <c r="G144" t="inlineStr">
        <is>
          <t>STRÄNGNÄS</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12546-2025</t>
        </is>
      </c>
      <c r="B145" t="inlineStr">
        <is>
          <t>avverkningsanmälan</t>
        </is>
      </c>
      <c r="C145" t="inlineStr">
        <is>
          <t>Avverkning för annat ändamål</t>
        </is>
      </c>
      <c r="D145" s="1" t="n">
        <v>45730</v>
      </c>
      <c r="E145" s="1" t="n">
        <v>46316</v>
      </c>
      <c r="F145" t="inlineStr">
        <is>
          <t>SÖDERMANLANDS LÄN</t>
        </is>
      </c>
      <c r="G145" t="inlineStr">
        <is>
          <t>STRÄNGNÄS</t>
        </is>
      </c>
      <c r="I145" t="n">
        <v>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3733-2026</t>
        </is>
      </c>
      <c r="B146" t="inlineStr">
        <is>
          <t>avverkningsanmälan</t>
        </is>
      </c>
      <c r="C146" t="inlineStr">
        <is>
          <t>Föryngringsavverkning</t>
        </is>
      </c>
      <c r="D146" s="1" t="n">
        <v>46043</v>
      </c>
      <c r="E146" s="1" t="n">
        <v>46316</v>
      </c>
      <c r="F146" t="inlineStr">
        <is>
          <t>SÖDERMANLANDS LÄN</t>
        </is>
      </c>
      <c r="G146" t="inlineStr">
        <is>
          <t>STRÄNGNÄS</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10350-2023</t>
        </is>
      </c>
      <c r="B147" t="inlineStr">
        <is>
          <t>avverkningsanmälan</t>
        </is>
      </c>
      <c r="C147" t="inlineStr">
        <is>
          <t>Föryngringsavverkning</t>
        </is>
      </c>
      <c r="D147" s="1" t="n">
        <v>44987</v>
      </c>
      <c r="E147" s="1" t="n">
        <v>46316</v>
      </c>
      <c r="F147" t="inlineStr">
        <is>
          <t>SÖDERMANLANDS LÄN</t>
        </is>
      </c>
      <c r="G147" t="inlineStr">
        <is>
          <t>STRÄNGNÄS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9942-2026</t>
        </is>
      </c>
      <c r="B148" t="inlineStr">
        <is>
          <t>avverkningsanmälan</t>
        </is>
      </c>
      <c r="C148" t="inlineStr">
        <is>
          <t>Föryngringsavverkning</t>
        </is>
      </c>
      <c r="D148" s="1" t="n">
        <v>46073</v>
      </c>
      <c r="E148" s="1" t="n">
        <v>46316</v>
      </c>
      <c r="F148" t="inlineStr">
        <is>
          <t>SÖDERMANLANDS LÄN</t>
        </is>
      </c>
      <c r="G148" t="inlineStr">
        <is>
          <t>STRÄNGNÄS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3824-2024</t>
        </is>
      </c>
      <c r="B149" t="inlineStr">
        <is>
          <t>avverkningsanmälan</t>
        </is>
      </c>
      <c r="C149" t="inlineStr">
        <is>
          <t>Föryngringsavverkning</t>
        </is>
      </c>
      <c r="D149" s="1" t="n">
        <v>45321</v>
      </c>
      <c r="E149" s="1" t="n">
        <v>46316</v>
      </c>
      <c r="F149" t="inlineStr">
        <is>
          <t>SÖDERMANLANDS LÄN</t>
        </is>
      </c>
      <c r="G149" t="inlineStr">
        <is>
          <t>STRÄNGNÄS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10121-2026</t>
        </is>
      </c>
      <c r="B150" t="inlineStr">
        <is>
          <t>avverkningsanmälan</t>
        </is>
      </c>
      <c r="C150" t="inlineStr">
        <is>
          <t>Föryngringsavverkning</t>
        </is>
      </c>
      <c r="D150" s="1" t="n">
        <v>46075</v>
      </c>
      <c r="E150" s="1" t="n">
        <v>46316</v>
      </c>
      <c r="F150" t="inlineStr">
        <is>
          <t>SÖDERMANLANDS LÄN</t>
        </is>
      </c>
      <c r="G150" t="inlineStr">
        <is>
          <t>STRÄNGNÄS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10770-2026</t>
        </is>
      </c>
      <c r="B151" t="inlineStr">
        <is>
          <t>avverkningsanmälan</t>
        </is>
      </c>
      <c r="C151" t="inlineStr">
        <is>
          <t>Föryngringsavverkning</t>
        </is>
      </c>
      <c r="D151" s="1" t="n">
        <v>46078</v>
      </c>
      <c r="E151" s="1" t="n">
        <v>46316</v>
      </c>
      <c r="F151" t="inlineStr">
        <is>
          <t>SÖDERMANLANDS LÄN</t>
        </is>
      </c>
      <c r="G151" t="inlineStr">
        <is>
          <t>STRÄNGNÄS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65161-2023</t>
        </is>
      </c>
      <c r="B152" t="inlineStr">
        <is>
          <t>avverkningsanmälan</t>
        </is>
      </c>
      <c r="C152" t="inlineStr">
        <is>
          <t>Föryngringsavverkning</t>
        </is>
      </c>
      <c r="D152" s="1" t="n">
        <v>45288</v>
      </c>
      <c r="E152" s="1" t="n">
        <v>46316</v>
      </c>
      <c r="F152" t="inlineStr">
        <is>
          <t>SÖDERMANLANDS LÄN</t>
        </is>
      </c>
      <c r="G152" t="inlineStr">
        <is>
          <t>STRÄNGNÄS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51763-2022</t>
        </is>
      </c>
      <c r="B153" t="inlineStr">
        <is>
          <t>avverkningsanmälan</t>
        </is>
      </c>
      <c r="C153" t="inlineStr">
        <is>
          <t>Föryngringsavverkning</t>
        </is>
      </c>
      <c r="D153" s="1" t="n">
        <v>44872</v>
      </c>
      <c r="E153" s="1" t="n">
        <v>46316</v>
      </c>
      <c r="F153" t="inlineStr">
        <is>
          <t>SÖDERMANLANDS LÄN</t>
        </is>
      </c>
      <c r="G153" t="inlineStr">
        <is>
          <t>STRÄNGNÄS</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22530-2023</t>
        </is>
      </c>
      <c r="B154" t="inlineStr">
        <is>
          <t>avverkningsanmälan</t>
        </is>
      </c>
      <c r="C154" t="inlineStr">
        <is>
          <t>Föryngringsavverkning</t>
        </is>
      </c>
      <c r="D154" s="1" t="n">
        <v>45071</v>
      </c>
      <c r="E154" s="1" t="n">
        <v>46316</v>
      </c>
      <c r="F154" t="inlineStr">
        <is>
          <t>SÖDERMANLANDS LÄN</t>
        </is>
      </c>
      <c r="G154" t="inlineStr">
        <is>
          <t>STRÄNGNÄS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12343-2026</t>
        </is>
      </c>
      <c r="B155" t="inlineStr">
        <is>
          <t>avverkningsanmälan</t>
        </is>
      </c>
      <c r="C155" t="inlineStr">
        <is>
          <t>Föryngringsavverkning</t>
        </is>
      </c>
      <c r="D155" s="1" t="n">
        <v>46087</v>
      </c>
      <c r="E155" s="1" t="n">
        <v>46316</v>
      </c>
      <c r="F155" t="inlineStr">
        <is>
          <t>SÖDERMANLANDS LÄN</t>
        </is>
      </c>
      <c r="G155" t="inlineStr">
        <is>
          <t>STRÄNGNÄS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17066-2022</t>
        </is>
      </c>
      <c r="B156" t="inlineStr">
        <is>
          <t>avverkningsanmälan</t>
        </is>
      </c>
      <c r="C156" t="inlineStr">
        <is>
          <t>Föryngringsavverkning</t>
        </is>
      </c>
      <c r="D156" s="1" t="n">
        <v>44676</v>
      </c>
      <c r="E156" s="1" t="n">
        <v>46316</v>
      </c>
      <c r="F156" t="inlineStr">
        <is>
          <t>SÖDERMANLANDS LÄN</t>
        </is>
      </c>
      <c r="G156" t="inlineStr">
        <is>
          <t>STRÄNGNÄS</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888-2023</t>
        </is>
      </c>
      <c r="B157" t="inlineStr">
        <is>
          <t>avverkningsanmälan</t>
        </is>
      </c>
      <c r="C157" t="inlineStr">
        <is>
          <t>Föryngringsavverkning</t>
        </is>
      </c>
      <c r="D157" s="1" t="n">
        <v>44931</v>
      </c>
      <c r="E157" s="1" t="n">
        <v>46316</v>
      </c>
      <c r="F157" t="inlineStr">
        <is>
          <t>SÖDERMANLANDS LÄN</t>
        </is>
      </c>
      <c r="G157" t="inlineStr">
        <is>
          <t>STRÄNGNÄS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52998-2025</t>
        </is>
      </c>
      <c r="B158" t="inlineStr">
        <is>
          <t>avverkningsanmälan</t>
        </is>
      </c>
      <c r="C158" t="inlineStr">
        <is>
          <t>Föryngringsavverkning</t>
        </is>
      </c>
      <c r="D158" s="1" t="n">
        <v>45957</v>
      </c>
      <c r="E158" s="1" t="n">
        <v>46316</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5805-2022</t>
        </is>
      </c>
      <c r="B159" t="inlineStr">
        <is>
          <t>avverkningsanmälan</t>
        </is>
      </c>
      <c r="C159" t="inlineStr">
        <is>
          <t>Föryngringsavverkning</t>
        </is>
      </c>
      <c r="D159" s="1" t="n">
        <v>44596</v>
      </c>
      <c r="E159" s="1" t="n">
        <v>46316</v>
      </c>
      <c r="F159" t="inlineStr">
        <is>
          <t>SÖDERMANLANDS LÄN</t>
        </is>
      </c>
      <c r="G159" t="inlineStr">
        <is>
          <t>STRÄNGNÄS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41241-2022</t>
        </is>
      </c>
      <c r="B160" t="inlineStr">
        <is>
          <t>avverkningsanmälan</t>
        </is>
      </c>
      <c r="C160" t="inlineStr">
        <is>
          <t>Föryngringsavverkning</t>
        </is>
      </c>
      <c r="D160" s="1" t="n">
        <v>44826</v>
      </c>
      <c r="E160" s="1" t="n">
        <v>46316</v>
      </c>
      <c r="F160" t="inlineStr">
        <is>
          <t>SÖDERMANLANDS LÄN</t>
        </is>
      </c>
      <c r="G160" t="inlineStr">
        <is>
          <t>STRÄNGNÄS</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3185-2022</t>
        </is>
      </c>
      <c r="B161" t="inlineStr">
        <is>
          <t>avverkningsanmälan</t>
        </is>
      </c>
      <c r="C161" t="inlineStr">
        <is>
          <t>Föryngringsavverkning</t>
        </is>
      </c>
      <c r="D161" s="1" t="n">
        <v>44582</v>
      </c>
      <c r="E161" s="1" t="n">
        <v>46316</v>
      </c>
      <c r="F161" t="inlineStr">
        <is>
          <t>SÖDERMANLANDS LÄN</t>
        </is>
      </c>
      <c r="G161" t="inlineStr">
        <is>
          <t>STRÄNGNÄS</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1251-2023</t>
        </is>
      </c>
      <c r="B162" t="inlineStr">
        <is>
          <t>avverkningsanmälan</t>
        </is>
      </c>
      <c r="C162" t="inlineStr">
        <is>
          <t>Föryngringsavverkning</t>
        </is>
      </c>
      <c r="D162" s="1" t="n">
        <v>44936</v>
      </c>
      <c r="E162" s="1" t="n">
        <v>46316</v>
      </c>
      <c r="F162" t="inlineStr">
        <is>
          <t>SÖDERMANLANDS LÄN</t>
        </is>
      </c>
      <c r="G162" t="inlineStr">
        <is>
          <t>STRÄNGNÄS</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30622-2025</t>
        </is>
      </c>
      <c r="B163" t="inlineStr">
        <is>
          <t>avverkningsanmälan</t>
        </is>
      </c>
      <c r="C163" t="inlineStr">
        <is>
          <t>Föryngringsavverkning</t>
        </is>
      </c>
      <c r="D163" s="1" t="n">
        <v>45831</v>
      </c>
      <c r="E163" s="1" t="n">
        <v>46316</v>
      </c>
      <c r="F163" t="inlineStr">
        <is>
          <t>SÖDERMANLANDS LÄN</t>
        </is>
      </c>
      <c r="G163" t="inlineStr">
        <is>
          <t>STRÄNGNÄS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23225-2023</t>
        </is>
      </c>
      <c r="B164" t="inlineStr">
        <is>
          <t>avverkningsanmälan</t>
        </is>
      </c>
      <c r="C164" t="inlineStr">
        <is>
          <t>Föryngringsavverkning</t>
        </is>
      </c>
      <c r="D164" s="1" t="n">
        <v>45075</v>
      </c>
      <c r="E164" s="1" t="n">
        <v>46316</v>
      </c>
      <c r="F164" t="inlineStr">
        <is>
          <t>SÖDERMANLANDS LÄN</t>
        </is>
      </c>
      <c r="G164" t="inlineStr">
        <is>
          <t>STRÄNGNÄS</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52452-2024</t>
        </is>
      </c>
      <c r="B165" t="inlineStr">
        <is>
          <t>avverkningsanmälan</t>
        </is>
      </c>
      <c r="C165" t="inlineStr">
        <is>
          <t>Avverkning för annat ändamål</t>
        </is>
      </c>
      <c r="D165" s="1" t="n">
        <v>45609</v>
      </c>
      <c r="E165" s="1" t="n">
        <v>46316</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20181-2024</t>
        </is>
      </c>
      <c r="B166" t="inlineStr">
        <is>
          <t>avverkningsanmälan</t>
        </is>
      </c>
      <c r="C166" t="inlineStr">
        <is>
          <t>Avverkning för annat ändamål</t>
        </is>
      </c>
      <c r="D166" s="1" t="n">
        <v>45434</v>
      </c>
      <c r="E166" s="1" t="n">
        <v>46316</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12792-2024</t>
        </is>
      </c>
      <c r="B167" t="inlineStr">
        <is>
          <t>avverkningsanmälan</t>
        </is>
      </c>
      <c r="C167" t="inlineStr">
        <is>
          <t>Föryngringsavverkning</t>
        </is>
      </c>
      <c r="D167" s="1" t="n">
        <v>45384</v>
      </c>
      <c r="E167" s="1" t="n">
        <v>46316</v>
      </c>
      <c r="F167" t="inlineStr">
        <is>
          <t>SÖDERMANLANDS LÄN</t>
        </is>
      </c>
      <c r="G167" t="inlineStr">
        <is>
          <t>STRÄNGNÄS</t>
        </is>
      </c>
      <c r="I167" t="n">
        <v>19.1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59304-2023</t>
        </is>
      </c>
      <c r="B168" t="inlineStr">
        <is>
          <t>avverkningsanmälan</t>
        </is>
      </c>
      <c r="C168" t="inlineStr">
        <is>
          <t>Föryngringsavverkning</t>
        </is>
      </c>
      <c r="D168" s="1" t="n">
        <v>45253</v>
      </c>
      <c r="E168" s="1" t="n">
        <v>46316</v>
      </c>
      <c r="F168" t="inlineStr">
        <is>
          <t>SÖDERMANLANDS LÄN</t>
        </is>
      </c>
      <c r="G168" t="inlineStr">
        <is>
          <t>STRÄNGNÄS</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43669-2022</t>
        </is>
      </c>
      <c r="B169" t="inlineStr">
        <is>
          <t>avverkningsanmälan</t>
        </is>
      </c>
      <c r="C169" t="inlineStr">
        <is>
          <t>Föryngringsavverkning</t>
        </is>
      </c>
      <c r="D169" s="1" t="n">
        <v>44834</v>
      </c>
      <c r="E169" s="1" t="n">
        <v>46316</v>
      </c>
      <c r="F169" t="inlineStr">
        <is>
          <t>SÖDERMANLANDS LÄN</t>
        </is>
      </c>
      <c r="G169" t="inlineStr">
        <is>
          <t>STRÄNGNÄS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42117-2022</t>
        </is>
      </c>
      <c r="B170" t="inlineStr">
        <is>
          <t>avverkningsanmälan</t>
        </is>
      </c>
      <c r="C170" t="inlineStr">
        <is>
          <t>Föryngringsavverkning</t>
        </is>
      </c>
      <c r="D170" s="1" t="n">
        <v>44830</v>
      </c>
      <c r="E170" s="1" t="n">
        <v>46316</v>
      </c>
      <c r="F170" t="inlineStr">
        <is>
          <t>SÖDERMANLANDS LÄN</t>
        </is>
      </c>
      <c r="G170" t="inlineStr">
        <is>
          <t>STRÄNGNÄS</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54451-2025</t>
        </is>
      </c>
      <c r="B171" t="inlineStr">
        <is>
          <t>avverkningsanmälan</t>
        </is>
      </c>
      <c r="C171" t="inlineStr">
        <is>
          <t>Föryngringsavverkning</t>
        </is>
      </c>
      <c r="D171" s="1" t="n">
        <v>45965</v>
      </c>
      <c r="E171" s="1" t="n">
        <v>46316</v>
      </c>
      <c r="F171" t="inlineStr">
        <is>
          <t>SÖDERMANLANDS LÄN</t>
        </is>
      </c>
      <c r="G171" t="inlineStr">
        <is>
          <t>STRÄNGNÄS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60747-2021</t>
        </is>
      </c>
      <c r="B172" t="inlineStr">
        <is>
          <t>avverkningsanmälan</t>
        </is>
      </c>
      <c r="C172" t="inlineStr">
        <is>
          <t>Föryngringsavverkning</t>
        </is>
      </c>
      <c r="D172" s="1" t="n">
        <v>44496</v>
      </c>
      <c r="E172" s="1" t="n">
        <v>46316</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24980-2025</t>
        </is>
      </c>
      <c r="B173" t="inlineStr">
        <is>
          <t>avverkningsanmälan</t>
        </is>
      </c>
      <c r="C173" t="inlineStr">
        <is>
          <t>Avverkning för annat ändamål</t>
        </is>
      </c>
      <c r="D173" s="1" t="n">
        <v>45799</v>
      </c>
      <c r="E173" s="1" t="n">
        <v>46316</v>
      </c>
      <c r="F173" t="inlineStr">
        <is>
          <t>SÖDERMANLANDS LÄN</t>
        </is>
      </c>
      <c r="G173" t="inlineStr">
        <is>
          <t>STRÄNGNÄS</t>
        </is>
      </c>
      <c r="H173" t="inlineStr">
        <is>
          <t>Övriga Aktiebolag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71414-2021</t>
        </is>
      </c>
      <c r="B174" t="inlineStr">
        <is>
          <t>avverkningsanmälan</t>
        </is>
      </c>
      <c r="C174" t="inlineStr">
        <is>
          <t>Föryngringsavverkning</t>
        </is>
      </c>
      <c r="D174" s="1" t="n">
        <v>44540</v>
      </c>
      <c r="E174" s="1" t="n">
        <v>46316</v>
      </c>
      <c r="F174" t="inlineStr">
        <is>
          <t>SÖDERMANLANDS LÄN</t>
        </is>
      </c>
      <c r="G174" t="inlineStr">
        <is>
          <t>STRÄNGNÄS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61567-2024</t>
        </is>
      </c>
      <c r="B175" t="inlineStr">
        <is>
          <t>avverkningsanmälan</t>
        </is>
      </c>
      <c r="C175" t="inlineStr">
        <is>
          <t>Avverkning för annat ändamål</t>
        </is>
      </c>
      <c r="D175" s="1" t="n">
        <v>45646</v>
      </c>
      <c r="E175" s="1" t="n">
        <v>46316</v>
      </c>
      <c r="F175" t="inlineStr">
        <is>
          <t>SÖDERMANLANDS LÄN</t>
        </is>
      </c>
      <c r="G175" t="inlineStr">
        <is>
          <t>STRÄNGNÄS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3773-2025</t>
        </is>
      </c>
      <c r="B176" t="inlineStr">
        <is>
          <t>avverkningsanmälan</t>
        </is>
      </c>
      <c r="C176" t="inlineStr">
        <is>
          <t>Föryngringsavverkning</t>
        </is>
      </c>
      <c r="D176" s="1" t="n">
        <v>45681</v>
      </c>
      <c r="E176" s="1" t="n">
        <v>46316</v>
      </c>
      <c r="F176" t="inlineStr">
        <is>
          <t>SÖDERMANLANDS LÄN</t>
        </is>
      </c>
      <c r="G176" t="inlineStr">
        <is>
          <t>STRÄNGNÄS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56124-2025</t>
        </is>
      </c>
      <c r="B177" t="inlineStr">
        <is>
          <t>avverkningsanmälan</t>
        </is>
      </c>
      <c r="C177" t="inlineStr">
        <is>
          <t>Avverkning för annat ändamål</t>
        </is>
      </c>
      <c r="D177" s="1" t="n">
        <v>45973</v>
      </c>
      <c r="E177" s="1" t="n">
        <v>46316</v>
      </c>
      <c r="F177" t="inlineStr">
        <is>
          <t>SÖDERMANLANDS LÄN</t>
        </is>
      </c>
      <c r="G177" t="inlineStr">
        <is>
          <t>STRÄNGNÄS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18971-2026</t>
        </is>
      </c>
      <c r="B178" t="inlineStr">
        <is>
          <t>avverkningsanmälan</t>
        </is>
      </c>
      <c r="C178" t="inlineStr">
        <is>
          <t>Föryngringsavverkning</t>
        </is>
      </c>
      <c r="D178" s="1" t="n">
        <v>46129</v>
      </c>
      <c r="E178" s="1" t="n">
        <v>46316</v>
      </c>
      <c r="F178" t="inlineStr">
        <is>
          <t>SÖDERMANLANDS LÄN</t>
        </is>
      </c>
      <c r="G178" t="inlineStr">
        <is>
          <t>STRÄNGNÄS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57150-2025</t>
        </is>
      </c>
      <c r="B179" t="inlineStr">
        <is>
          <t>avverkningsanmälan</t>
        </is>
      </c>
      <c r="C179" t="inlineStr">
        <is>
          <t>Föryngringsavverkning</t>
        </is>
      </c>
      <c r="D179" s="1" t="n">
        <v>45979</v>
      </c>
      <c r="E179" s="1" t="n">
        <v>46316</v>
      </c>
      <c r="F179" t="inlineStr">
        <is>
          <t>SÖDERMANLANDS LÄN</t>
        </is>
      </c>
      <c r="G179" t="inlineStr">
        <is>
          <t>STRÄNGNÄS</t>
        </is>
      </c>
      <c r="I179" t="n">
        <v>13.8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32627-2025</t>
        </is>
      </c>
      <c r="B180" t="inlineStr">
        <is>
          <t>avverkningsanmälan</t>
        </is>
      </c>
      <c r="C180" t="inlineStr">
        <is>
          <t>Föryngringsavverkning</t>
        </is>
      </c>
      <c r="D180" s="1" t="n">
        <v>45838</v>
      </c>
      <c r="E180" s="1" t="n">
        <v>46316</v>
      </c>
      <c r="F180" t="inlineStr">
        <is>
          <t>SÖDERMANLANDS LÄN</t>
        </is>
      </c>
      <c r="G180" t="inlineStr">
        <is>
          <t>STRÄNGNÄS</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18965-2026</t>
        </is>
      </c>
      <c r="B181" t="inlineStr">
        <is>
          <t>avverkningsanmälan</t>
        </is>
      </c>
      <c r="C181" t="inlineStr">
        <is>
          <t>Föryngringsavverkning</t>
        </is>
      </c>
      <c r="D181" s="1" t="n">
        <v>46129</v>
      </c>
      <c r="E181" s="1" t="n">
        <v>46316</v>
      </c>
      <c r="F181" t="inlineStr">
        <is>
          <t>SÖDERMANLANDS LÄN</t>
        </is>
      </c>
      <c r="G181" t="inlineStr">
        <is>
          <t>STRÄNGNÄS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18904-2026</t>
        </is>
      </c>
      <c r="B182" t="inlineStr">
        <is>
          <t>avverkningsanmälan</t>
        </is>
      </c>
      <c r="C182" t="inlineStr">
        <is>
          <t>Föryngringsavverkning</t>
        </is>
      </c>
      <c r="D182" s="1" t="n">
        <v>46129</v>
      </c>
      <c r="E182" s="1" t="n">
        <v>46316</v>
      </c>
      <c r="F182" t="inlineStr">
        <is>
          <t>SÖDERMANLANDS LÄN</t>
        </is>
      </c>
      <c r="G182" t="inlineStr">
        <is>
          <t>STRÄNGNÄS</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18961-2026</t>
        </is>
      </c>
      <c r="B183" t="inlineStr">
        <is>
          <t>avverkningsanmälan</t>
        </is>
      </c>
      <c r="C183" t="inlineStr">
        <is>
          <t>Föryngringsavverkning</t>
        </is>
      </c>
      <c r="D183" s="1" t="n">
        <v>46129</v>
      </c>
      <c r="E183" s="1" t="n">
        <v>46316</v>
      </c>
      <c r="F183" t="inlineStr">
        <is>
          <t>SÖDERMANLANDS LÄN</t>
        </is>
      </c>
      <c r="G183" t="inlineStr">
        <is>
          <t>STRÄNGNÄS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4115-2025</t>
        </is>
      </c>
      <c r="B184" t="inlineStr">
        <is>
          <t>avverkningsanmälan</t>
        </is>
      </c>
      <c r="C184" t="inlineStr">
        <is>
          <t>Föryngringsavverkning</t>
        </is>
      </c>
      <c r="D184" s="1" t="n">
        <v>45684</v>
      </c>
      <c r="E184" s="1" t="n">
        <v>46316</v>
      </c>
      <c r="F184" t="inlineStr">
        <is>
          <t>SÖDERMANLANDS LÄN</t>
        </is>
      </c>
      <c r="G184" t="inlineStr">
        <is>
          <t>STRÄNGNÄS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58936-2025</t>
        </is>
      </c>
      <c r="B185" t="inlineStr">
        <is>
          <t>avverkningsanmälan</t>
        </is>
      </c>
      <c r="C185" t="inlineStr">
        <is>
          <t>Föryngringsavverkning</t>
        </is>
      </c>
      <c r="D185" s="1" t="n">
        <v>45986</v>
      </c>
      <c r="E185" s="1" t="n">
        <v>46316</v>
      </c>
      <c r="F185" t="inlineStr">
        <is>
          <t>SÖDERMANLANDS LÄN</t>
        </is>
      </c>
      <c r="G185" t="inlineStr">
        <is>
          <t>STRÄNGNÄS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58935-2025</t>
        </is>
      </c>
      <c r="B186" t="inlineStr">
        <is>
          <t>avverkningsanmälan</t>
        </is>
      </c>
      <c r="C186" t="inlineStr">
        <is>
          <t>Föryngringsavverkning</t>
        </is>
      </c>
      <c r="D186" s="1" t="n">
        <v>45986</v>
      </c>
      <c r="E186" s="1" t="n">
        <v>46316</v>
      </c>
      <c r="F186" t="inlineStr">
        <is>
          <t>SÖDERMANLANDS LÄN</t>
        </is>
      </c>
      <c r="G186" t="inlineStr">
        <is>
          <t>STRÄNGNÄS</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21015-2023</t>
        </is>
      </c>
      <c r="B187" t="inlineStr">
        <is>
          <t>avverkningsanmälan</t>
        </is>
      </c>
      <c r="C187" t="inlineStr">
        <is>
          <t>Föryngringsavverkning</t>
        </is>
      </c>
      <c r="D187" s="1" t="n">
        <v>45056</v>
      </c>
      <c r="E187" s="1" t="n">
        <v>46316</v>
      </c>
      <c r="F187" t="inlineStr">
        <is>
          <t>SÖDERMANLANDS LÄN</t>
        </is>
      </c>
      <c r="G187" t="inlineStr">
        <is>
          <t>STRÄNGNÄS</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71391-2021</t>
        </is>
      </c>
      <c r="B188" t="inlineStr">
        <is>
          <t>avverkningsanmälan</t>
        </is>
      </c>
      <c r="C188" t="inlineStr">
        <is>
          <t>Föryngringsavverkning</t>
        </is>
      </c>
      <c r="D188" s="1" t="n">
        <v>44540</v>
      </c>
      <c r="E188" s="1" t="n">
        <v>46316</v>
      </c>
      <c r="F188" t="inlineStr">
        <is>
          <t>SÖDERMANLANDS LÄN</t>
        </is>
      </c>
      <c r="G188" t="inlineStr">
        <is>
          <t>STRÄNGNÄS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58238-2022</t>
        </is>
      </c>
      <c r="B189" t="inlineStr">
        <is>
          <t>avverkningsanmälan</t>
        </is>
      </c>
      <c r="C189" t="inlineStr">
        <is>
          <t>Föryngringsavverkning</t>
        </is>
      </c>
      <c r="D189" s="1" t="n">
        <v>44901</v>
      </c>
      <c r="E189" s="1" t="n">
        <v>46316</v>
      </c>
      <c r="F189" t="inlineStr">
        <is>
          <t>SÖDERMANLANDS LÄN</t>
        </is>
      </c>
      <c r="G189" t="inlineStr">
        <is>
          <t>STRÄNGNÄS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11690-2023</t>
        </is>
      </c>
      <c r="B190" t="inlineStr">
        <is>
          <t>avverkningsanmälan</t>
        </is>
      </c>
      <c r="C190" t="inlineStr">
        <is>
          <t>Föryngringsavverkning</t>
        </is>
      </c>
      <c r="D190" s="1" t="n">
        <v>44992</v>
      </c>
      <c r="E190" s="1" t="n">
        <v>46316</v>
      </c>
      <c r="F190" t="inlineStr">
        <is>
          <t>SÖDERMANLANDS LÄN</t>
        </is>
      </c>
      <c r="G190" t="inlineStr">
        <is>
          <t>STRÄNGNÄS</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11281-2025</t>
        </is>
      </c>
      <c r="B191" t="inlineStr">
        <is>
          <t>avverkningsanmälan</t>
        </is>
      </c>
      <c r="C191" t="inlineStr">
        <is>
          <t>Föryngringsavverkning</t>
        </is>
      </c>
      <c r="D191" s="1" t="n">
        <v>45726</v>
      </c>
      <c r="E191" s="1" t="n">
        <v>46316</v>
      </c>
      <c r="F191" t="inlineStr">
        <is>
          <t>SÖDERMANLANDS LÄN</t>
        </is>
      </c>
      <c r="G191" t="inlineStr">
        <is>
          <t>STRÄNGNÄS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42777-2023</t>
        </is>
      </c>
      <c r="B192" t="inlineStr">
        <is>
          <t>avverkningsanmälan</t>
        </is>
      </c>
      <c r="C192" t="inlineStr">
        <is>
          <t>Föryngringsavverkning</t>
        </is>
      </c>
      <c r="D192" s="1" t="n">
        <v>45177</v>
      </c>
      <c r="E192" s="1" t="n">
        <v>46316</v>
      </c>
      <c r="F192" t="inlineStr">
        <is>
          <t>SÖDERMANLANDS LÄN</t>
        </is>
      </c>
      <c r="G192" t="inlineStr">
        <is>
          <t>STRÄNGNÄS</t>
        </is>
      </c>
      <c r="H192" t="inlineStr">
        <is>
          <t>Övriga statliga verk och myndigheter</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33342-2023</t>
        </is>
      </c>
      <c r="B193" t="inlineStr">
        <is>
          <t>avverkningsanmälan</t>
        </is>
      </c>
      <c r="C193" t="inlineStr">
        <is>
          <t>Föryngringsavverkning</t>
        </is>
      </c>
      <c r="D193" s="1" t="n">
        <v>45128</v>
      </c>
      <c r="E193" s="1" t="n">
        <v>46316</v>
      </c>
      <c r="F193" t="inlineStr">
        <is>
          <t>SÖDERMANLANDS LÄN</t>
        </is>
      </c>
      <c r="G193" t="inlineStr">
        <is>
          <t>STRÄNGNÄS</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35370-2025</t>
        </is>
      </c>
      <c r="B194" t="inlineStr">
        <is>
          <t>avverkningsanmälan</t>
        </is>
      </c>
      <c r="C194" t="inlineStr">
        <is>
          <t>Föryngringsavverkning</t>
        </is>
      </c>
      <c r="D194" s="1" t="n">
        <v>45854</v>
      </c>
      <c r="E194" s="1" t="n">
        <v>46316</v>
      </c>
      <c r="F194" t="inlineStr">
        <is>
          <t>SÖDERMANLANDS LÄN</t>
        </is>
      </c>
      <c r="G194" t="inlineStr">
        <is>
          <t>STRÄNGNÄS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9511-2022</t>
        </is>
      </c>
      <c r="B195" t="inlineStr">
        <is>
          <t>avverkningsanmälan</t>
        </is>
      </c>
      <c r="C195" t="inlineStr">
        <is>
          <t>Föryngringsavverkning</t>
        </is>
      </c>
      <c r="D195" s="1" t="n">
        <v>44616</v>
      </c>
      <c r="E195" s="1" t="n">
        <v>46316</v>
      </c>
      <c r="F195" t="inlineStr">
        <is>
          <t>SÖDERMANLANDS LÄN</t>
        </is>
      </c>
      <c r="G195" t="inlineStr">
        <is>
          <t>STRÄNGNÄS</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54383-2022</t>
        </is>
      </c>
      <c r="B196" t="inlineStr">
        <is>
          <t>avverkningsanmälan</t>
        </is>
      </c>
      <c r="C196" t="inlineStr">
        <is>
          <t>Föryngringsavverkning</t>
        </is>
      </c>
      <c r="D196" s="1" t="n">
        <v>44882</v>
      </c>
      <c r="E196" s="1" t="n">
        <v>46316</v>
      </c>
      <c r="F196" t="inlineStr">
        <is>
          <t>SÖDERMANLANDS LÄN</t>
        </is>
      </c>
      <c r="G196" t="inlineStr">
        <is>
          <t>STRÄNGNÄS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1305-2023</t>
        </is>
      </c>
      <c r="B197" t="inlineStr">
        <is>
          <t>avverkningsanmälan</t>
        </is>
      </c>
      <c r="C197" t="inlineStr">
        <is>
          <t>Föryngringsavverkning</t>
        </is>
      </c>
      <c r="D197" s="1" t="n">
        <v>44936</v>
      </c>
      <c r="E197" s="1" t="n">
        <v>46316</v>
      </c>
      <c r="F197" t="inlineStr">
        <is>
          <t>SÖDERMANLANDS LÄN</t>
        </is>
      </c>
      <c r="G197" t="inlineStr">
        <is>
          <t>STRÄNGNÄS</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30477-2024</t>
        </is>
      </c>
      <c r="B198" t="inlineStr">
        <is>
          <t>avverkningsanmälan</t>
        </is>
      </c>
      <c r="C198" t="inlineStr">
        <is>
          <t>Avverkning för annat ändamål</t>
        </is>
      </c>
      <c r="D198" s="1" t="n">
        <v>45491</v>
      </c>
      <c r="E198" s="1" t="n">
        <v>46316</v>
      </c>
      <c r="F198" t="inlineStr">
        <is>
          <t>SÖDERMANLANDS LÄN</t>
        </is>
      </c>
      <c r="G198" t="inlineStr">
        <is>
          <t>STRÄNGNÄS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56984-2024</t>
        </is>
      </c>
      <c r="B199" t="inlineStr">
        <is>
          <t>avverkningsanmälan</t>
        </is>
      </c>
      <c r="C199" t="inlineStr">
        <is>
          <t>Föryngringsavverkning</t>
        </is>
      </c>
      <c r="D199" s="1" t="n">
        <v>45628</v>
      </c>
      <c r="E199" s="1" t="n">
        <v>46316</v>
      </c>
      <c r="F199" t="inlineStr">
        <is>
          <t>SÖDERMANLANDS LÄN</t>
        </is>
      </c>
      <c r="G199" t="inlineStr">
        <is>
          <t>STRÄNGNÄS</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56989-2024</t>
        </is>
      </c>
      <c r="B200" t="inlineStr">
        <is>
          <t>avverkningsanmälan</t>
        </is>
      </c>
      <c r="C200" t="inlineStr">
        <is>
          <t>Föryngringsavverkning</t>
        </is>
      </c>
      <c r="D200" s="1" t="n">
        <v>45628</v>
      </c>
      <c r="E200" s="1" t="n">
        <v>46316</v>
      </c>
      <c r="F200" t="inlineStr">
        <is>
          <t>SÖDERMANLANDS LÄN</t>
        </is>
      </c>
      <c r="G200" t="inlineStr">
        <is>
          <t>STRÄNGNÄS</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56988-2024</t>
        </is>
      </c>
      <c r="B201" t="inlineStr">
        <is>
          <t>avverkningsanmälan</t>
        </is>
      </c>
      <c r="C201" t="inlineStr">
        <is>
          <t>Föryngringsavverkning</t>
        </is>
      </c>
      <c r="D201" s="1" t="n">
        <v>45628</v>
      </c>
      <c r="E201" s="1" t="n">
        <v>46316</v>
      </c>
      <c r="F201" t="inlineStr">
        <is>
          <t>SÖDERMANLANDS LÄN</t>
        </is>
      </c>
      <c r="G201" t="inlineStr">
        <is>
          <t>STRÄNGNÄS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20187-2026</t>
        </is>
      </c>
      <c r="B202" t="inlineStr">
        <is>
          <t>avverkningsanmälan</t>
        </is>
      </c>
      <c r="C202" t="inlineStr">
        <is>
          <t>Föryngringsavverkning</t>
        </is>
      </c>
      <c r="D202" s="1" t="n">
        <v>46139</v>
      </c>
      <c r="E202" s="1" t="n">
        <v>46316</v>
      </c>
      <c r="F202" t="inlineStr">
        <is>
          <t>SÖDERMANLANDS LÄN</t>
        </is>
      </c>
      <c r="G202" t="inlineStr">
        <is>
          <t>STRÄNGNÄS</t>
        </is>
      </c>
      <c r="H202" t="inlineStr">
        <is>
          <t>Allmännings- och besparingsskogar</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40605-2025</t>
        </is>
      </c>
      <c r="B203" t="inlineStr">
        <is>
          <t>avverkningsanmälan</t>
        </is>
      </c>
      <c r="C203" t="inlineStr">
        <is>
          <t>Föryngringsavverkning</t>
        </is>
      </c>
      <c r="D203" s="1" t="n">
        <v>45896</v>
      </c>
      <c r="E203" s="1" t="n">
        <v>46316</v>
      </c>
      <c r="F203" t="inlineStr">
        <is>
          <t>SÖDERMANLANDS LÄN</t>
        </is>
      </c>
      <c r="G203" t="inlineStr">
        <is>
          <t>STRÄNGNÄS</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22522-2023</t>
        </is>
      </c>
      <c r="B204" t="inlineStr">
        <is>
          <t>avverkningsanmälan</t>
        </is>
      </c>
      <c r="C204" t="inlineStr">
        <is>
          <t>Föryngringsavverkning</t>
        </is>
      </c>
      <c r="D204" s="1" t="n">
        <v>45071</v>
      </c>
      <c r="E204" s="1" t="n">
        <v>46316</v>
      </c>
      <c r="F204" t="inlineStr">
        <is>
          <t>SÖDERMANLANDS LÄN</t>
        </is>
      </c>
      <c r="G204" t="inlineStr">
        <is>
          <t>STRÄNGNÄS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15397-2022</t>
        </is>
      </c>
      <c r="B205" t="inlineStr">
        <is>
          <t>avverkningsanmälan</t>
        </is>
      </c>
      <c r="C205" t="inlineStr">
        <is>
          <t>Föryngringsavverkning</t>
        </is>
      </c>
      <c r="D205" s="1" t="n">
        <v>44659</v>
      </c>
      <c r="E205" s="1" t="n">
        <v>46316</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13259-2022</t>
        </is>
      </c>
      <c r="B206" t="inlineStr">
        <is>
          <t>avverkningsanmälan</t>
        </is>
      </c>
      <c r="C206" t="inlineStr">
        <is>
          <t>Föryngringsavverkning</t>
        </is>
      </c>
      <c r="D206" s="1" t="n">
        <v>44644</v>
      </c>
      <c r="E206" s="1" t="n">
        <v>46316</v>
      </c>
      <c r="F206" t="inlineStr">
        <is>
          <t>SÖDERMANLANDS LÄN</t>
        </is>
      </c>
      <c r="G206" t="inlineStr">
        <is>
          <t>STRÄNGNÄS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3118-2023</t>
        </is>
      </c>
      <c r="B207" t="inlineStr">
        <is>
          <t>avverkningsanmälan</t>
        </is>
      </c>
      <c r="C207" t="inlineStr">
        <is>
          <t>Föryngringsavverkning</t>
        </is>
      </c>
      <c r="D207" s="1" t="n">
        <v>44946</v>
      </c>
      <c r="E207" s="1" t="n">
        <v>46316</v>
      </c>
      <c r="F207" t="inlineStr">
        <is>
          <t>SÖDERMANLANDS LÄN</t>
        </is>
      </c>
      <c r="G207" t="inlineStr">
        <is>
          <t>STRÄNGNÄS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23001-2023</t>
        </is>
      </c>
      <c r="B208" t="inlineStr">
        <is>
          <t>avverkningsanmälan</t>
        </is>
      </c>
      <c r="C208" t="inlineStr">
        <is>
          <t>Föryngringsavverkning</t>
        </is>
      </c>
      <c r="D208" s="1" t="n">
        <v>45072</v>
      </c>
      <c r="E208" s="1" t="n">
        <v>46316</v>
      </c>
      <c r="F208" t="inlineStr">
        <is>
          <t>SÖDERMANLANDS LÄN</t>
        </is>
      </c>
      <c r="G208" t="inlineStr">
        <is>
          <t>STRÄNGNÄS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34391-2024</t>
        </is>
      </c>
      <c r="B209" t="inlineStr">
        <is>
          <t>avverkningsanmälan</t>
        </is>
      </c>
      <c r="C209" t="inlineStr">
        <is>
          <t>Föryngringsavverkning</t>
        </is>
      </c>
      <c r="D209" s="1" t="n">
        <v>45525</v>
      </c>
      <c r="E209" s="1" t="n">
        <v>46316</v>
      </c>
      <c r="F209" t="inlineStr">
        <is>
          <t>SÖDERMANLANDS LÄN</t>
        </is>
      </c>
      <c r="G209" t="inlineStr">
        <is>
          <t>STRÄNGNÄS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38198-2025</t>
        </is>
      </c>
      <c r="B210" t="inlineStr">
        <is>
          <t>avverkningsanmälan</t>
        </is>
      </c>
      <c r="C210" t="inlineStr">
        <is>
          <t>Föryngringsavverkning</t>
        </is>
      </c>
      <c r="D210" s="1" t="n">
        <v>45882</v>
      </c>
      <c r="E210" s="1" t="n">
        <v>46316</v>
      </c>
      <c r="F210" t="inlineStr">
        <is>
          <t>SÖDERMANLANDS LÄN</t>
        </is>
      </c>
      <c r="G210" t="inlineStr">
        <is>
          <t>STRÄNGNÄS</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46316</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13613-2023</t>
        </is>
      </c>
      <c r="B212" t="inlineStr">
        <is>
          <t>avverkningsanmälan</t>
        </is>
      </c>
      <c r="C212" t="inlineStr">
        <is>
          <t>Föryngringsavverkning</t>
        </is>
      </c>
      <c r="D212" s="1" t="n">
        <v>45006</v>
      </c>
      <c r="E212" s="1" t="n">
        <v>46316</v>
      </c>
      <c r="F212" t="inlineStr">
        <is>
          <t>SÖDERMANLANDS LÄN</t>
        </is>
      </c>
      <c r="G212" t="inlineStr">
        <is>
          <t>STRÄNGNÄS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65153-2023</t>
        </is>
      </c>
      <c r="B213" t="inlineStr">
        <is>
          <t>avverkningsanmälan</t>
        </is>
      </c>
      <c r="C213" t="inlineStr">
        <is>
          <t>Föryngringsavverkning</t>
        </is>
      </c>
      <c r="D213" s="1" t="n">
        <v>45288</v>
      </c>
      <c r="E213" s="1" t="n">
        <v>46316</v>
      </c>
      <c r="F213" t="inlineStr">
        <is>
          <t>SÖDERMANLANDS LÄN</t>
        </is>
      </c>
      <c r="G213" t="inlineStr">
        <is>
          <t>STRÄNGNÄS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35495-2023</t>
        </is>
      </c>
      <c r="B214" t="inlineStr">
        <is>
          <t>avverkningsanmälan</t>
        </is>
      </c>
      <c r="C214" t="inlineStr">
        <is>
          <t>Föryngringsavverkning</t>
        </is>
      </c>
      <c r="D214" s="1" t="n">
        <v>45146</v>
      </c>
      <c r="E214" s="1" t="n">
        <v>46316</v>
      </c>
      <c r="F214" t="inlineStr">
        <is>
          <t>SÖDERMANLANDS LÄN</t>
        </is>
      </c>
      <c r="G214" t="inlineStr">
        <is>
          <t>STRÄNGNÄS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34364-2023</t>
        </is>
      </c>
      <c r="B215" t="inlineStr">
        <is>
          <t>avverkningsanmälan</t>
        </is>
      </c>
      <c r="C215" t="inlineStr">
        <is>
          <t>Föryngringsavverkning</t>
        </is>
      </c>
      <c r="D215" s="1" t="n">
        <v>45131</v>
      </c>
      <c r="E215" s="1" t="n">
        <v>46316</v>
      </c>
      <c r="F215" t="inlineStr">
        <is>
          <t>SÖDERMANLANDS LÄN</t>
        </is>
      </c>
      <c r="G215" t="inlineStr">
        <is>
          <t>STRÄNGNÄS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62746-2025</t>
        </is>
      </c>
      <c r="B216" t="inlineStr">
        <is>
          <t>avverkningsanmälan</t>
        </is>
      </c>
      <c r="C216" t="inlineStr">
        <is>
          <t>Föryngringsavverkning</t>
        </is>
      </c>
      <c r="D216" s="1" t="n">
        <v>46008</v>
      </c>
      <c r="E216" s="1" t="n">
        <v>46316</v>
      </c>
      <c r="F216" t="inlineStr">
        <is>
          <t>SÖDERMANLANDS LÄN</t>
        </is>
      </c>
      <c r="G216" t="inlineStr">
        <is>
          <t>STRÄNGNÄS</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18358-2024</t>
        </is>
      </c>
      <c r="B217" t="inlineStr">
        <is>
          <t>avverkningsanmälan</t>
        </is>
      </c>
      <c r="C217" t="inlineStr">
        <is>
          <t>Föryngringsavverkning</t>
        </is>
      </c>
      <c r="D217" s="1" t="n">
        <v>45422</v>
      </c>
      <c r="E217" s="1" t="n">
        <v>46316</v>
      </c>
      <c r="F217" t="inlineStr">
        <is>
          <t>SÖDERMANLANDS LÄN</t>
        </is>
      </c>
      <c r="G217" t="inlineStr">
        <is>
          <t>STRÄNGNÄS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18242-2023</t>
        </is>
      </c>
      <c r="B218" t="inlineStr">
        <is>
          <t>avverkningsanmälan</t>
        </is>
      </c>
      <c r="C218" t="inlineStr">
        <is>
          <t>Föryngringsavverkning</t>
        </is>
      </c>
      <c r="D218" s="1" t="n">
        <v>45041</v>
      </c>
      <c r="E218" s="1" t="n">
        <v>46316</v>
      </c>
      <c r="F218" t="inlineStr">
        <is>
          <t>SÖDERMANLANDS LÄN</t>
        </is>
      </c>
      <c r="G218" t="inlineStr">
        <is>
          <t>STRÄNGNÄS</t>
        </is>
      </c>
      <c r="H218" t="inlineStr">
        <is>
          <t>Allmännings- och besparingsskogar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5849-2023</t>
        </is>
      </c>
      <c r="B219" t="inlineStr">
        <is>
          <t>avverkningsanmälan</t>
        </is>
      </c>
      <c r="C219" t="inlineStr">
        <is>
          <t>Föryngringsavverkning</t>
        </is>
      </c>
      <c r="D219" s="1" t="n">
        <v>44963</v>
      </c>
      <c r="E219" s="1" t="n">
        <v>46316</v>
      </c>
      <c r="F219" t="inlineStr">
        <is>
          <t>SÖDERMANLANDS LÄN</t>
        </is>
      </c>
      <c r="G219" t="inlineStr">
        <is>
          <t>STRÄNGNÄS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3121-2023</t>
        </is>
      </c>
      <c r="B220" t="inlineStr">
        <is>
          <t>avverkningsanmälan</t>
        </is>
      </c>
      <c r="C220" t="inlineStr">
        <is>
          <t>Föryngringsavverkning</t>
        </is>
      </c>
      <c r="D220" s="1" t="n">
        <v>44946</v>
      </c>
      <c r="E220" s="1" t="n">
        <v>46316</v>
      </c>
      <c r="F220" t="inlineStr">
        <is>
          <t>SÖDERMANLANDS LÄN</t>
        </is>
      </c>
      <c r="G220" t="inlineStr">
        <is>
          <t>STRÄNGNÄS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10543-2026</t>
        </is>
      </c>
      <c r="B221" t="inlineStr">
        <is>
          <t>avverkningsanmälan</t>
        </is>
      </c>
      <c r="C221" t="inlineStr">
        <is>
          <t>Föryngringsavverkning</t>
        </is>
      </c>
      <c r="D221" s="1" t="n">
        <v>46077</v>
      </c>
      <c r="E221" s="1" t="n">
        <v>46316</v>
      </c>
      <c r="F221" t="inlineStr">
        <is>
          <t>SÖDERMANLANDS LÄN</t>
        </is>
      </c>
      <c r="G221" t="inlineStr">
        <is>
          <t>STRÄNGNÄS</t>
        </is>
      </c>
      <c r="H221" t="inlineStr">
        <is>
          <t>Övriga Aktiebolag</t>
        </is>
      </c>
      <c r="I221" t="n">
        <v>8.199999999999999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5458-2025</t>
        </is>
      </c>
      <c r="B222" t="inlineStr">
        <is>
          <t>avverkningsanmälan</t>
        </is>
      </c>
      <c r="C222" t="inlineStr">
        <is>
          <t>Föryngringsavverkning</t>
        </is>
      </c>
      <c r="D222" s="1" t="n">
        <v>45692</v>
      </c>
      <c r="E222" s="1" t="n">
        <v>46316</v>
      </c>
      <c r="F222" t="inlineStr">
        <is>
          <t>SÖDERMANLANDS LÄN</t>
        </is>
      </c>
      <c r="G222" t="inlineStr">
        <is>
          <t>STRÄNGNÄS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39448-2024</t>
        </is>
      </c>
      <c r="B223" t="inlineStr">
        <is>
          <t>avverkningsanmälan</t>
        </is>
      </c>
      <c r="C223" t="inlineStr">
        <is>
          <t>Föryngringsavverkning</t>
        </is>
      </c>
      <c r="D223" s="1" t="n">
        <v>45551</v>
      </c>
      <c r="E223" s="1" t="n">
        <v>46316</v>
      </c>
      <c r="F223" t="inlineStr">
        <is>
          <t>SÖDERMANLANDS LÄN</t>
        </is>
      </c>
      <c r="G223" t="inlineStr">
        <is>
          <t>STRÄNGNÄS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23961-2026</t>
        </is>
      </c>
      <c r="B224" t="inlineStr">
        <is>
          <t>avverkningsanmälan</t>
        </is>
      </c>
      <c r="C224" t="inlineStr">
        <is>
          <t>Föryngringsavverkning</t>
        </is>
      </c>
      <c r="D224" s="1" t="n">
        <v>46167</v>
      </c>
      <c r="E224" s="1" t="n">
        <v>46316</v>
      </c>
      <c r="F224" t="inlineStr">
        <is>
          <t>SÖDERMANLANDS LÄN</t>
        </is>
      </c>
      <c r="G224" t="inlineStr">
        <is>
          <t>STRÄNGNÄS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23995-2026</t>
        </is>
      </c>
      <c r="B225" t="inlineStr">
        <is>
          <t>avverkningsanmälan</t>
        </is>
      </c>
      <c r="C225" t="inlineStr">
        <is>
          <t>Föryngringsavverkning</t>
        </is>
      </c>
      <c r="D225" s="1" t="n">
        <v>46167</v>
      </c>
      <c r="E225" s="1" t="n">
        <v>46316</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1256-2023</t>
        </is>
      </c>
      <c r="B226" t="inlineStr">
        <is>
          <t>avverkningsanmälan</t>
        </is>
      </c>
      <c r="C226" t="inlineStr">
        <is>
          <t>Föryngringsavverkning</t>
        </is>
      </c>
      <c r="D226" s="1" t="n">
        <v>44936</v>
      </c>
      <c r="E226" s="1" t="n">
        <v>46316</v>
      </c>
      <c r="F226" t="inlineStr">
        <is>
          <t>SÖDERMANLANDS LÄN</t>
        </is>
      </c>
      <c r="G226" t="inlineStr">
        <is>
          <t>STRÄNGNÄS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9034-2023</t>
        </is>
      </c>
      <c r="B227" t="inlineStr">
        <is>
          <t>avverkningsanmälan</t>
        </is>
      </c>
      <c r="C227" t="inlineStr">
        <is>
          <t>Avverkning för annat ändamål</t>
        </is>
      </c>
      <c r="D227" s="1" t="n">
        <v>44979</v>
      </c>
      <c r="E227" s="1" t="n">
        <v>46316</v>
      </c>
      <c r="F227" t="inlineStr">
        <is>
          <t>SÖDERMANLANDS LÄN</t>
        </is>
      </c>
      <c r="G227" t="inlineStr">
        <is>
          <t>STRÄNGNÄS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44479-2023</t>
        </is>
      </c>
      <c r="B228" t="inlineStr">
        <is>
          <t>avverkningsanmälan</t>
        </is>
      </c>
      <c r="C228" t="inlineStr">
        <is>
          <t>Föryngringsavverkning</t>
        </is>
      </c>
      <c r="D228" s="1" t="n">
        <v>45189</v>
      </c>
      <c r="E228" s="1" t="n">
        <v>46316</v>
      </c>
      <c r="F228" t="inlineStr">
        <is>
          <t>SÖDERMANLANDS LÄN</t>
        </is>
      </c>
      <c r="G228" t="inlineStr">
        <is>
          <t>STRÄNGNÄS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10352-2023</t>
        </is>
      </c>
      <c r="B229" t="inlineStr">
        <is>
          <t>avverkningsanmälan</t>
        </is>
      </c>
      <c r="C229" t="inlineStr">
        <is>
          <t>Föryngringsavverkning</t>
        </is>
      </c>
      <c r="D229" s="1" t="n">
        <v>44987</v>
      </c>
      <c r="E229" s="1" t="n">
        <v>46316</v>
      </c>
      <c r="F229" t="inlineStr">
        <is>
          <t>SÖDERMANLANDS LÄN</t>
        </is>
      </c>
      <c r="G229" t="inlineStr">
        <is>
          <t>STRÄNGNÄS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48886-2023</t>
        </is>
      </c>
      <c r="B230" t="inlineStr">
        <is>
          <t>avverkningsanmälan</t>
        </is>
      </c>
      <c r="C230" t="inlineStr">
        <is>
          <t>Föryngringsavverkning</t>
        </is>
      </c>
      <c r="D230" s="1" t="n">
        <v>45209</v>
      </c>
      <c r="E230" s="1" t="n">
        <v>46316</v>
      </c>
      <c r="F230" t="inlineStr">
        <is>
          <t>SÖDERMANLANDS LÄN</t>
        </is>
      </c>
      <c r="G230" t="inlineStr">
        <is>
          <t>STRÄNGNÄS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24680-2026</t>
        </is>
      </c>
      <c r="B231" t="inlineStr">
        <is>
          <t>avverkningsanmälan</t>
        </is>
      </c>
      <c r="C231" t="inlineStr">
        <is>
          <t>Föryngringsavverkning</t>
        </is>
      </c>
      <c r="D231" s="1" t="n">
        <v>46171</v>
      </c>
      <c r="E231" s="1" t="n">
        <v>46316</v>
      </c>
      <c r="F231" t="inlineStr">
        <is>
          <t>SÖDERMANLANDS LÄN</t>
        </is>
      </c>
      <c r="G231" t="inlineStr">
        <is>
          <t>STRÄNGNÄS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24691-2026</t>
        </is>
      </c>
      <c r="B232" t="inlineStr">
        <is>
          <t>avverkningsanmälan</t>
        </is>
      </c>
      <c r="C232" t="inlineStr">
        <is>
          <t>Föryngringsavverkning</t>
        </is>
      </c>
      <c r="D232" s="1" t="n">
        <v>46171</v>
      </c>
      <c r="E232" s="1" t="n">
        <v>46316</v>
      </c>
      <c r="F232" t="inlineStr">
        <is>
          <t>SÖDERMANLANDS LÄN</t>
        </is>
      </c>
      <c r="G232" t="inlineStr">
        <is>
          <t>STRÄNGNÄS</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24694-2026</t>
        </is>
      </c>
      <c r="B233" t="inlineStr">
        <is>
          <t>avverkningsanmälan</t>
        </is>
      </c>
      <c r="C233" t="inlineStr">
        <is>
          <t>Föryngringsavverkning</t>
        </is>
      </c>
      <c r="D233" s="1" t="n">
        <v>46171</v>
      </c>
      <c r="E233" s="1" t="n">
        <v>46316</v>
      </c>
      <c r="F233" t="inlineStr">
        <is>
          <t>SÖDERMANLANDS LÄN</t>
        </is>
      </c>
      <c r="G233" t="inlineStr">
        <is>
          <t>STRÄNGNÄS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25077-2026</t>
        </is>
      </c>
      <c r="B234" t="inlineStr">
        <is>
          <t>avverkningsanmälan</t>
        </is>
      </c>
      <c r="C234" t="inlineStr">
        <is>
          <t>Föryngringsavverkning</t>
        </is>
      </c>
      <c r="D234" s="1" t="n">
        <v>46174</v>
      </c>
      <c r="E234" s="1" t="n">
        <v>46316</v>
      </c>
      <c r="F234" t="inlineStr">
        <is>
          <t>SÖDERMANLANDS LÄN</t>
        </is>
      </c>
      <c r="G234" t="inlineStr">
        <is>
          <t>STRÄNGNÄS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52773-2023</t>
        </is>
      </c>
      <c r="B235" t="inlineStr">
        <is>
          <t>avverkningsanmälan</t>
        </is>
      </c>
      <c r="C235" t="inlineStr">
        <is>
          <t>Föryngringsavverkning</t>
        </is>
      </c>
      <c r="D235" s="1" t="n">
        <v>45219</v>
      </c>
      <c r="E235" s="1" t="n">
        <v>46316</v>
      </c>
      <c r="F235" t="inlineStr">
        <is>
          <t>SÖDERMANLANDS LÄN</t>
        </is>
      </c>
      <c r="G235" t="inlineStr">
        <is>
          <t>STRÄNGNÄS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52840-2023</t>
        </is>
      </c>
      <c r="B236" t="inlineStr">
        <is>
          <t>avverkningsanmälan</t>
        </is>
      </c>
      <c r="C236" t="inlineStr">
        <is>
          <t>Föryngringsavverkning</t>
        </is>
      </c>
      <c r="D236" s="1" t="n">
        <v>45226</v>
      </c>
      <c r="E236" s="1" t="n">
        <v>46316</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48823-2023</t>
        </is>
      </c>
      <c r="B237" t="inlineStr">
        <is>
          <t>avverkningsanmälan</t>
        </is>
      </c>
      <c r="C237" t="inlineStr">
        <is>
          <t>Avverkning för att bevara och utveckla /försöksver</t>
        </is>
      </c>
      <c r="D237" s="1" t="n">
        <v>45209</v>
      </c>
      <c r="E237" s="1" t="n">
        <v>46316</v>
      </c>
      <c r="F237" t="inlineStr">
        <is>
          <t>SÖDERMANLANDS LÄN</t>
        </is>
      </c>
      <c r="G237" t="inlineStr">
        <is>
          <t>STRÄNGNÄS</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34401-2024</t>
        </is>
      </c>
      <c r="B238" t="inlineStr">
        <is>
          <t>avverkningsanmälan</t>
        </is>
      </c>
      <c r="C238" t="inlineStr">
        <is>
          <t>Föryngringsavverkning</t>
        </is>
      </c>
      <c r="D238" s="1" t="n">
        <v>45525</v>
      </c>
      <c r="E238" s="1" t="n">
        <v>46316</v>
      </c>
      <c r="F238" t="inlineStr">
        <is>
          <t>SÖDERMANLANDS LÄN</t>
        </is>
      </c>
      <c r="G238" t="inlineStr">
        <is>
          <t>STRÄNGNÄS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20938-2023</t>
        </is>
      </c>
      <c r="B239" t="inlineStr">
        <is>
          <t>avverkningsanmälan</t>
        </is>
      </c>
      <c r="C239" t="inlineStr">
        <is>
          <t>Föryngringsavverkning</t>
        </is>
      </c>
      <c r="D239" s="1" t="n">
        <v>45061</v>
      </c>
      <c r="E239" s="1" t="n">
        <v>46316</v>
      </c>
      <c r="F239" t="inlineStr">
        <is>
          <t>SÖDERMANLANDS LÄN</t>
        </is>
      </c>
      <c r="G239" t="inlineStr">
        <is>
          <t>STRÄNGNÄS</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27680-2026</t>
        </is>
      </c>
      <c r="B240" t="inlineStr">
        <is>
          <t>avverkningsanmälan</t>
        </is>
      </c>
      <c r="C240" t="inlineStr">
        <is>
          <t>Föryngringsavverkning</t>
        </is>
      </c>
      <c r="D240" s="1" t="n">
        <v>46188</v>
      </c>
      <c r="E240" s="1" t="n">
        <v>46316</v>
      </c>
      <c r="F240" t="inlineStr">
        <is>
          <t>SÖDERMANLANDS LÄN</t>
        </is>
      </c>
      <c r="G240" t="inlineStr">
        <is>
          <t>STRÄNGNÄS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66296-2021</t>
        </is>
      </c>
      <c r="B241" t="inlineStr">
        <is>
          <t>avverkningsanmälan</t>
        </is>
      </c>
      <c r="C241" t="inlineStr">
        <is>
          <t>Föryngringsavverkning</t>
        </is>
      </c>
      <c r="D241" s="1" t="n">
        <v>44518</v>
      </c>
      <c r="E241" s="1" t="n">
        <v>46316</v>
      </c>
      <c r="F241" t="inlineStr">
        <is>
          <t>SÖDERMANLANDS LÄN</t>
        </is>
      </c>
      <c r="G241" t="inlineStr">
        <is>
          <t>STRÄNGNÄS</t>
        </is>
      </c>
      <c r="H241" t="inlineStr">
        <is>
          <t>Övriga statliga verk och myndigheter</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27677-2026</t>
        </is>
      </c>
      <c r="B242" t="inlineStr">
        <is>
          <t>avverkningsanmälan</t>
        </is>
      </c>
      <c r="C242" t="inlineStr">
        <is>
          <t>Föryngringsavverkning</t>
        </is>
      </c>
      <c r="D242" s="1" t="n">
        <v>46188</v>
      </c>
      <c r="E242" s="1" t="n">
        <v>46316</v>
      </c>
      <c r="F242" t="inlineStr">
        <is>
          <t>SÖDERMANLANDS LÄN</t>
        </is>
      </c>
      <c r="G242" t="inlineStr">
        <is>
          <t>STRÄNGNÄS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67925-2021</t>
        </is>
      </c>
      <c r="B243" t="inlineStr">
        <is>
          <t>avverkningsanmälan</t>
        </is>
      </c>
      <c r="C243" t="inlineStr">
        <is>
          <t>Föryngringsavverkning</t>
        </is>
      </c>
      <c r="D243" s="1" t="n">
        <v>44525</v>
      </c>
      <c r="E243" s="1" t="n">
        <v>46316</v>
      </c>
      <c r="F243" t="inlineStr">
        <is>
          <t>SÖDERMANLANDS LÄN</t>
        </is>
      </c>
      <c r="G243" t="inlineStr">
        <is>
          <t>STRÄNGNÄS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60764-2021</t>
        </is>
      </c>
      <c r="B244" t="inlineStr">
        <is>
          <t>avverkningsanmälan</t>
        </is>
      </c>
      <c r="C244" t="inlineStr">
        <is>
          <t>Föryngringsavverkning</t>
        </is>
      </c>
      <c r="D244" s="1" t="n">
        <v>44496</v>
      </c>
      <c r="E244" s="1" t="n">
        <v>46316</v>
      </c>
      <c r="F244" t="inlineStr">
        <is>
          <t>SÖDERMANLANDS LÄN</t>
        </is>
      </c>
      <c r="G244" t="inlineStr">
        <is>
          <t>STRÄNGNÄS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28102-2026</t>
        </is>
      </c>
      <c r="B245" t="inlineStr">
        <is>
          <t>avverkningsanmälan</t>
        </is>
      </c>
      <c r="C245" t="inlineStr">
        <is>
          <t>Avverkning för annat ändamål</t>
        </is>
      </c>
      <c r="D245" s="1" t="n">
        <v>46195</v>
      </c>
      <c r="E245" s="1" t="n">
        <v>46316</v>
      </c>
      <c r="F245" t="inlineStr">
        <is>
          <t>SÖDERMANLANDS LÄN</t>
        </is>
      </c>
      <c r="G245" t="inlineStr">
        <is>
          <t>STRÄNGNÄS</t>
        </is>
      </c>
      <c r="H245" t="inlineStr">
        <is>
          <t>Övriga Aktiebolag</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28108-2026</t>
        </is>
      </c>
      <c r="B246" t="inlineStr">
        <is>
          <t>avverkningsanmälan</t>
        </is>
      </c>
      <c r="C246" t="inlineStr">
        <is>
          <t>Avverkning för annat ändamål</t>
        </is>
      </c>
      <c r="D246" s="1" t="n">
        <v>46195</v>
      </c>
      <c r="E246" s="1" t="n">
        <v>46316</v>
      </c>
      <c r="F246" t="inlineStr">
        <is>
          <t>SÖDERMANLANDS LÄN</t>
        </is>
      </c>
      <c r="G246" t="inlineStr">
        <is>
          <t>STRÄNGNÄS</t>
        </is>
      </c>
      <c r="H246" t="inlineStr">
        <is>
          <t>Övriga Aktiebolag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3037-2022</t>
        </is>
      </c>
      <c r="B247" t="inlineStr">
        <is>
          <t>avverkningsanmälan</t>
        </is>
      </c>
      <c r="C247" t="inlineStr">
        <is>
          <t>Föryngringsavverkning</t>
        </is>
      </c>
      <c r="D247" s="1" t="n">
        <v>44581</v>
      </c>
      <c r="E247" s="1" t="n">
        <v>46316</v>
      </c>
      <c r="F247" t="inlineStr">
        <is>
          <t>SÖDERMANLANDS LÄN</t>
        </is>
      </c>
      <c r="G247" t="inlineStr">
        <is>
          <t>STRÄNGNÄS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243-2023</t>
        </is>
      </c>
      <c r="B248" t="inlineStr">
        <is>
          <t>avverkningsanmälan</t>
        </is>
      </c>
      <c r="C248" t="inlineStr">
        <is>
          <t>Föryngringsavverkning</t>
        </is>
      </c>
      <c r="D248" s="1" t="n">
        <v>44928</v>
      </c>
      <c r="E248" s="1" t="n">
        <v>46316</v>
      </c>
      <c r="F248" t="inlineStr">
        <is>
          <t>SÖDERMANLANDS LÄN</t>
        </is>
      </c>
      <c r="G248" t="inlineStr">
        <is>
          <t>STRÄNGNÄS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52904-2023</t>
        </is>
      </c>
      <c r="B249" t="inlineStr">
        <is>
          <t>avverkningsanmälan</t>
        </is>
      </c>
      <c r="C249" t="inlineStr">
        <is>
          <t>Föryngringsavverkning</t>
        </is>
      </c>
      <c r="D249" s="1" t="n">
        <v>45226</v>
      </c>
      <c r="E249" s="1" t="n">
        <v>46316</v>
      </c>
      <c r="F249" t="inlineStr">
        <is>
          <t>SÖDERMANLANDS LÄN</t>
        </is>
      </c>
      <c r="G249" t="inlineStr">
        <is>
          <t>STRÄNGNÄS</t>
        </is>
      </c>
      <c r="I249" t="n">
        <v>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16414-2022</t>
        </is>
      </c>
      <c r="B250" t="inlineStr">
        <is>
          <t>avverkningsanmälan</t>
        </is>
      </c>
      <c r="C250" t="inlineStr">
        <is>
          <t>Föryngringsavverkning</t>
        </is>
      </c>
      <c r="D250" s="1" t="n">
        <v>44671</v>
      </c>
      <c r="E250" s="1" t="n">
        <v>46316</v>
      </c>
      <c r="F250" t="inlineStr">
        <is>
          <t>SÖDERMANLANDS LÄN</t>
        </is>
      </c>
      <c r="G250" t="inlineStr">
        <is>
          <t>STRÄNGNÄS</t>
        </is>
      </c>
      <c r="H250" t="inlineStr">
        <is>
          <t>Övriga Aktiebolag</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23541-2023</t>
        </is>
      </c>
      <c r="B251" t="inlineStr">
        <is>
          <t>avverkningsanmälan</t>
        </is>
      </c>
      <c r="C251" t="inlineStr">
        <is>
          <t>Föryngringsavverkning</t>
        </is>
      </c>
      <c r="D251" s="1" t="n">
        <v>45077</v>
      </c>
      <c r="E251" s="1" t="n">
        <v>46316</v>
      </c>
      <c r="F251" t="inlineStr">
        <is>
          <t>SÖDERMANLANDS LÄN</t>
        </is>
      </c>
      <c r="G251" t="inlineStr">
        <is>
          <t>STRÄNGNÄS</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32079-2024</t>
        </is>
      </c>
      <c r="B252" t="inlineStr">
        <is>
          <t>avverkningsanmälan</t>
        </is>
      </c>
      <c r="C252" t="inlineStr">
        <is>
          <t>Föryngringsavverkning</t>
        </is>
      </c>
      <c r="D252" s="1" t="n">
        <v>45511</v>
      </c>
      <c r="E252" s="1" t="n">
        <v>46316</v>
      </c>
      <c r="F252" t="inlineStr">
        <is>
          <t>SÖDERMANLANDS LÄN</t>
        </is>
      </c>
      <c r="G252" t="inlineStr">
        <is>
          <t>STRÄNGNÄS</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42750-2023</t>
        </is>
      </c>
      <c r="B253" t="inlineStr">
        <is>
          <t>avverkningsanmälan</t>
        </is>
      </c>
      <c r="C253" t="inlineStr">
        <is>
          <t>Föryngringsavverkning</t>
        </is>
      </c>
      <c r="D253" s="1" t="n">
        <v>45177</v>
      </c>
      <c r="E253" s="1" t="n">
        <v>46316</v>
      </c>
      <c r="F253" t="inlineStr">
        <is>
          <t>SÖDERMANLANDS LÄN</t>
        </is>
      </c>
      <c r="G253" t="inlineStr">
        <is>
          <t>STRÄNGNÄS</t>
        </is>
      </c>
      <c r="H253" t="inlineStr">
        <is>
          <t>Övriga statliga verk och myndigheter</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18860-2023</t>
        </is>
      </c>
      <c r="B254" t="inlineStr">
        <is>
          <t>avverkningsanmälan</t>
        </is>
      </c>
      <c r="C254" t="inlineStr">
        <is>
          <t>Föryngringsavverkning</t>
        </is>
      </c>
      <c r="D254" s="1" t="n">
        <v>45044</v>
      </c>
      <c r="E254" s="1" t="n">
        <v>46316</v>
      </c>
      <c r="F254" t="inlineStr">
        <is>
          <t>SÖDERMANLANDS LÄN</t>
        </is>
      </c>
      <c r="G254" t="inlineStr">
        <is>
          <t>STRÄNGNÄS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18865-2023</t>
        </is>
      </c>
      <c r="B255" t="inlineStr">
        <is>
          <t>avverkningsanmälan</t>
        </is>
      </c>
      <c r="C255" t="inlineStr">
        <is>
          <t>Föryngringsavverkning</t>
        </is>
      </c>
      <c r="D255" s="1" t="n">
        <v>45044</v>
      </c>
      <c r="E255" s="1" t="n">
        <v>46316</v>
      </c>
      <c r="F255" t="inlineStr">
        <is>
          <t>SÖDERMANLANDS LÄN</t>
        </is>
      </c>
      <c r="G255" t="inlineStr">
        <is>
          <t>STRÄNGNÄS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55054-2023</t>
        </is>
      </c>
      <c r="B256" t="inlineStr">
        <is>
          <t>avverkningsanmälan</t>
        </is>
      </c>
      <c r="C256" t="inlineStr">
        <is>
          <t>Föryngringsavverkning</t>
        </is>
      </c>
      <c r="D256" s="1" t="n">
        <v>45237</v>
      </c>
      <c r="E256" s="1" t="n">
        <v>46316</v>
      </c>
      <c r="F256" t="inlineStr">
        <is>
          <t>SÖDERMANLANDS LÄN</t>
        </is>
      </c>
      <c r="G256" t="inlineStr">
        <is>
          <t>STRÄNGNÄS</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30753-2026</t>
        </is>
      </c>
      <c r="B257" t="inlineStr">
        <is>
          <t>avverkningsanmälan</t>
        </is>
      </c>
      <c r="C257" t="inlineStr">
        <is>
          <t>Avverkning för annat ändamål</t>
        </is>
      </c>
      <c r="D257" s="1" t="n">
        <v>46212</v>
      </c>
      <c r="E257" s="1" t="n">
        <v>46316</v>
      </c>
      <c r="F257" t="inlineStr">
        <is>
          <t>SÖDERMANLANDS LÄN</t>
        </is>
      </c>
      <c r="G257" t="inlineStr">
        <is>
          <t>STRÄNGNÄS</t>
        </is>
      </c>
      <c r="H257" t="inlineStr">
        <is>
          <t>Övriga Aktiebolag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31442-2026</t>
        </is>
      </c>
      <c r="B258" t="inlineStr">
        <is>
          <t>avverkningsanmälan</t>
        </is>
      </c>
      <c r="C258" t="inlineStr">
        <is>
          <t>Föryngringsavverkning</t>
        </is>
      </c>
      <c r="D258" s="1" t="n">
        <v>46217</v>
      </c>
      <c r="E258" s="1" t="n">
        <v>46316</v>
      </c>
      <c r="F258" t="inlineStr">
        <is>
          <t>SÖDERMANLANDS LÄN</t>
        </is>
      </c>
      <c r="G258" t="inlineStr">
        <is>
          <t>STRÄNGNÄS</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52790-2023</t>
        </is>
      </c>
      <c r="B259" t="inlineStr">
        <is>
          <t>avverkningsanmälan</t>
        </is>
      </c>
      <c r="C259" t="inlineStr">
        <is>
          <t>Föryngringsavverkning</t>
        </is>
      </c>
      <c r="D259" s="1" t="n">
        <v>45219</v>
      </c>
      <c r="E259" s="1" t="n">
        <v>46316</v>
      </c>
      <c r="F259" t="inlineStr">
        <is>
          <t>SÖDERMANLANDS LÄN</t>
        </is>
      </c>
      <c r="G259" t="inlineStr">
        <is>
          <t>STRÄNGNÄS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2497-2022</t>
        </is>
      </c>
      <c r="B260" t="inlineStr">
        <is>
          <t>avverkningsanmälan</t>
        </is>
      </c>
      <c r="C260" t="inlineStr">
        <is>
          <t>Föryngringsavverkning</t>
        </is>
      </c>
      <c r="D260" s="1" t="n">
        <v>44579</v>
      </c>
      <c r="E260" s="1" t="n">
        <v>46316</v>
      </c>
      <c r="F260" t="inlineStr">
        <is>
          <t>SÖDERMANLANDS LÄN</t>
        </is>
      </c>
      <c r="G260" t="inlineStr">
        <is>
          <t>STRÄNGNÄS</t>
        </is>
      </c>
      <c r="H260" t="inlineStr">
        <is>
          <t>Allmännings- och besparingsskogar</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37681-2026</t>
        </is>
      </c>
      <c r="B261" t="inlineStr">
        <is>
          <t>avverkningsanmälan</t>
        </is>
      </c>
      <c r="C261" t="inlineStr">
        <is>
          <t>Föryngringsavverkning</t>
        </is>
      </c>
      <c r="D261" s="1" t="n">
        <v>46278</v>
      </c>
      <c r="E261" s="1" t="n">
        <v>46316</v>
      </c>
      <c r="F261" t="inlineStr">
        <is>
          <t>SÖDERMANLANDS LÄN</t>
        </is>
      </c>
      <c r="G261" t="inlineStr">
        <is>
          <t>STRÄNGNÄS</t>
        </is>
      </c>
      <c r="H261" t="inlineStr">
        <is>
          <t>Allmännings- och besparingsskogar</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37682-2026</t>
        </is>
      </c>
      <c r="B262" t="inlineStr">
        <is>
          <t>avverkningsanmälan</t>
        </is>
      </c>
      <c r="C262" t="inlineStr">
        <is>
          <t>Föryngringsavverkning</t>
        </is>
      </c>
      <c r="D262" s="1" t="n">
        <v>46278</v>
      </c>
      <c r="E262" s="1" t="n">
        <v>46316</v>
      </c>
      <c r="F262" t="inlineStr">
        <is>
          <t>SÖDERMANLANDS LÄN</t>
        </is>
      </c>
      <c r="G262" t="inlineStr">
        <is>
          <t>STRÄNGNÄS</t>
        </is>
      </c>
      <c r="H262" t="inlineStr">
        <is>
          <t>Allmännings- och besparingsskogar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43387-2022</t>
        </is>
      </c>
      <c r="B263" t="inlineStr">
        <is>
          <t>avverkningsanmälan</t>
        </is>
      </c>
      <c r="C263" t="inlineStr">
        <is>
          <t>Föryngringsavverkning</t>
        </is>
      </c>
      <c r="D263" s="1" t="n">
        <v>44834</v>
      </c>
      <c r="E263" s="1" t="n">
        <v>46316</v>
      </c>
      <c r="F263" t="inlineStr">
        <is>
          <t>SÖDERMANLANDS LÄN</t>
        </is>
      </c>
      <c r="G263" t="inlineStr">
        <is>
          <t>STRÄNGNÄS</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4335-2023</t>
        </is>
      </c>
      <c r="B264" t="inlineStr">
        <is>
          <t>avverkningsanmälan</t>
        </is>
      </c>
      <c r="C264" t="inlineStr">
        <is>
          <t>Föryngringsavverkning</t>
        </is>
      </c>
      <c r="D264" s="1" t="n">
        <v>44953</v>
      </c>
      <c r="E264" s="1" t="n">
        <v>46316</v>
      </c>
      <c r="F264" t="inlineStr">
        <is>
          <t>SÖDERMANLANDS LÄN</t>
        </is>
      </c>
      <c r="G264" t="inlineStr">
        <is>
          <t>STRÄNGNÄS</t>
        </is>
      </c>
      <c r="H264" t="inlineStr">
        <is>
          <t>Allmännings- och besparingsskogar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45984-2022</t>
        </is>
      </c>
      <c r="B265" t="inlineStr">
        <is>
          <t>avverkningsanmälan</t>
        </is>
      </c>
      <c r="C265" t="inlineStr">
        <is>
          <t>Föryngringsavverkning</t>
        </is>
      </c>
      <c r="D265" s="1" t="n">
        <v>44846</v>
      </c>
      <c r="E265" s="1" t="n">
        <v>46316</v>
      </c>
      <c r="F265" t="inlineStr">
        <is>
          <t>SÖDERMANLANDS LÄN</t>
        </is>
      </c>
      <c r="G265" t="inlineStr">
        <is>
          <t>STRÄNGNÄS</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12114-2023</t>
        </is>
      </c>
      <c r="B266" t="inlineStr">
        <is>
          <t>avverkningsanmälan</t>
        </is>
      </c>
      <c r="C266" t="inlineStr">
        <is>
          <t>Föryngringsavverkning</t>
        </is>
      </c>
      <c r="D266" s="1" t="n">
        <v>44998</v>
      </c>
      <c r="E266" s="1" t="n">
        <v>46316</v>
      </c>
      <c r="F266" t="inlineStr">
        <is>
          <t>SÖDERMANLANDS LÄN</t>
        </is>
      </c>
      <c r="G266" t="inlineStr">
        <is>
          <t>STRÄNGNÄS</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54656-2023</t>
        </is>
      </c>
      <c r="B267" t="inlineStr">
        <is>
          <t>avverkningsanmälan</t>
        </is>
      </c>
      <c r="C267" t="inlineStr">
        <is>
          <t>Avverkning för att bevara och utveckla /försöksver</t>
        </is>
      </c>
      <c r="D267" s="1" t="n">
        <v>45235</v>
      </c>
      <c r="E267" s="1" t="n">
        <v>46316</v>
      </c>
      <c r="F267" t="inlineStr">
        <is>
          <t>SÖDERMANLANDS LÄN</t>
        </is>
      </c>
      <c r="G267" t="inlineStr">
        <is>
          <t>STRÄNGNÄS</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12123-2023</t>
        </is>
      </c>
      <c r="B268" t="inlineStr">
        <is>
          <t>avverkningsanmälan</t>
        </is>
      </c>
      <c r="C268" t="inlineStr">
        <is>
          <t>Föryngringsavverkning</t>
        </is>
      </c>
      <c r="D268" s="1" t="n">
        <v>44998</v>
      </c>
      <c r="E268" s="1" t="n">
        <v>46316</v>
      </c>
      <c r="F268" t="inlineStr">
        <is>
          <t>SÖDERMANLANDS LÄN</t>
        </is>
      </c>
      <c r="G268" t="inlineStr">
        <is>
          <t>STRÄNGNÄS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10346-2023</t>
        </is>
      </c>
      <c r="B269" t="inlineStr">
        <is>
          <t>avverkningsanmälan</t>
        </is>
      </c>
      <c r="C269" t="inlineStr">
        <is>
          <t>Föryngringsavverkning</t>
        </is>
      </c>
      <c r="D269" s="1" t="n">
        <v>44987</v>
      </c>
      <c r="E269" s="1" t="n">
        <v>46316</v>
      </c>
      <c r="F269" t="inlineStr">
        <is>
          <t>SÖDERMANLANDS LÄN</t>
        </is>
      </c>
      <c r="G269" t="inlineStr">
        <is>
          <t>STRÄNGNÄS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39339-2026</t>
        </is>
      </c>
      <c r="B270" t="inlineStr">
        <is>
          <t>avverkningsanmälan</t>
        </is>
      </c>
      <c r="C270" t="inlineStr">
        <is>
          <t>Föryngringsavverkning</t>
        </is>
      </c>
      <c r="D270" s="1" t="n">
        <v>46288</v>
      </c>
      <c r="E270" s="1" t="n">
        <v>46316</v>
      </c>
      <c r="F270" t="inlineStr">
        <is>
          <t>SÖDERMANLANDS LÄN</t>
        </is>
      </c>
      <c r="G270" t="inlineStr">
        <is>
          <t>STRÄNGNÄS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14847-2023</t>
        </is>
      </c>
      <c r="B271" t="inlineStr">
        <is>
          <t>avverkningsanmälan</t>
        </is>
      </c>
      <c r="C271" t="inlineStr">
        <is>
          <t>Föryngringsavverkning</t>
        </is>
      </c>
      <c r="D271" s="1" t="n">
        <v>45014</v>
      </c>
      <c r="E271" s="1" t="n">
        <v>46316</v>
      </c>
      <c r="F271" t="inlineStr">
        <is>
          <t>SÖDERMANLANDS LÄN</t>
        </is>
      </c>
      <c r="G271" t="inlineStr">
        <is>
          <t>STRÄNGNÄS</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36469-2023</t>
        </is>
      </c>
      <c r="B272" t="inlineStr">
        <is>
          <t>avverkningsanmälan</t>
        </is>
      </c>
      <c r="C272" t="inlineStr">
        <is>
          <t>Föryngringsavverkning</t>
        </is>
      </c>
      <c r="D272" s="1" t="n">
        <v>45152</v>
      </c>
      <c r="E272" s="1" t="n">
        <v>46316</v>
      </c>
      <c r="F272" t="inlineStr">
        <is>
          <t>SÖDERMANLANDS LÄN</t>
        </is>
      </c>
      <c r="G272" t="inlineStr">
        <is>
          <t>STRÄNGNÄS</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58241-2022</t>
        </is>
      </c>
      <c r="B273" t="inlineStr">
        <is>
          <t>avverkningsanmälan</t>
        </is>
      </c>
      <c r="C273" t="inlineStr">
        <is>
          <t>Föryngringsavverkning</t>
        </is>
      </c>
      <c r="D273" s="1" t="n">
        <v>44901</v>
      </c>
      <c r="E273" s="1" t="n">
        <v>46316</v>
      </c>
      <c r="F273" t="inlineStr">
        <is>
          <t>SÖDERMANLANDS LÄN</t>
        </is>
      </c>
      <c r="G273" t="inlineStr">
        <is>
          <t>STRÄNGNÄS</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1117-2022</t>
        </is>
      </c>
      <c r="B274" t="inlineStr">
        <is>
          <t>avverkningsanmälan</t>
        </is>
      </c>
      <c r="C274" t="inlineStr">
        <is>
          <t>Föryngringsavverkning</t>
        </is>
      </c>
      <c r="D274" s="1" t="n">
        <v>44571</v>
      </c>
      <c r="E274" s="1" t="n">
        <v>46316</v>
      </c>
      <c r="F274" t="inlineStr">
        <is>
          <t>SÖDERMANLANDS LÄN</t>
        </is>
      </c>
      <c r="G274" t="inlineStr">
        <is>
          <t>STRÄNGNÄS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9625-2022</t>
        </is>
      </c>
      <c r="B275" t="inlineStr">
        <is>
          <t>avverkningsanmälan</t>
        </is>
      </c>
      <c r="C275" t="inlineStr">
        <is>
          <t>Föryngringsavverkning</t>
        </is>
      </c>
      <c r="D275" s="1" t="n">
        <v>44617</v>
      </c>
      <c r="E275" s="1" t="n">
        <v>46316</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32552-2023</t>
        </is>
      </c>
      <c r="B276" t="inlineStr">
        <is>
          <t>avverkningsanmälan</t>
        </is>
      </c>
      <c r="C276" t="inlineStr">
        <is>
          <t>Föryngringsavverkning</t>
        </is>
      </c>
      <c r="D276" s="1" t="n">
        <v>45121</v>
      </c>
      <c r="E276" s="1" t="n">
        <v>46316</v>
      </c>
      <c r="F276" t="inlineStr">
        <is>
          <t>SÖDERMANLANDS LÄN</t>
        </is>
      </c>
      <c r="G276" t="inlineStr">
        <is>
          <t>STRÄNGNÄS</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34503-2026</t>
        </is>
      </c>
      <c r="B277" t="inlineStr">
        <is>
          <t>avverkningsanmälan</t>
        </is>
      </c>
      <c r="C277" t="inlineStr">
        <is>
          <t>Föryngringsavverkning</t>
        </is>
      </c>
      <c r="D277" s="1" t="n">
        <v>46255</v>
      </c>
      <c r="E277" s="1" t="n">
        <v>46316</v>
      </c>
      <c r="F277" t="inlineStr">
        <is>
          <t>SÖDERMANLANDS LÄN</t>
        </is>
      </c>
      <c r="G277" t="inlineStr">
        <is>
          <t>STRÄNGNÄS</t>
        </is>
      </c>
      <c r="H277" t="inlineStr">
        <is>
          <t>Övriga Aktiebolag</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61656-2023</t>
        </is>
      </c>
      <c r="B278" t="inlineStr">
        <is>
          <t>avverkningsanmälan</t>
        </is>
      </c>
      <c r="C278" t="inlineStr">
        <is>
          <t>Föryngringsavverkning</t>
        </is>
      </c>
      <c r="D278" s="1" t="n">
        <v>45265</v>
      </c>
      <c r="E278" s="1" t="n">
        <v>46316</v>
      </c>
      <c r="F278" t="inlineStr">
        <is>
          <t>SÖDERMANLANDS LÄN</t>
        </is>
      </c>
      <c r="G278" t="inlineStr">
        <is>
          <t>STRÄNGNÄS</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58022-2022</t>
        </is>
      </c>
      <c r="B279" t="inlineStr">
        <is>
          <t>avverkningsanmälan</t>
        </is>
      </c>
      <c r="C279" t="inlineStr">
        <is>
          <t>Föryngringsavverkning</t>
        </is>
      </c>
      <c r="D279" s="1" t="n">
        <v>44900</v>
      </c>
      <c r="E279" s="1" t="n">
        <v>46316</v>
      </c>
      <c r="F279" t="inlineStr">
        <is>
          <t>SÖDERMANLANDS LÄN</t>
        </is>
      </c>
      <c r="G279" t="inlineStr">
        <is>
          <t>STRÄNGNÄS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65151-2023</t>
        </is>
      </c>
      <c r="B280" t="inlineStr">
        <is>
          <t>avverkningsanmälan</t>
        </is>
      </c>
      <c r="C280" t="inlineStr">
        <is>
          <t>Föryngringsavverkning</t>
        </is>
      </c>
      <c r="D280" s="1" t="n">
        <v>45288</v>
      </c>
      <c r="E280" s="1" t="n">
        <v>46316</v>
      </c>
      <c r="F280" t="inlineStr">
        <is>
          <t>SÖDERMANLANDS LÄN</t>
        </is>
      </c>
      <c r="G280" t="inlineStr">
        <is>
          <t>STRÄNGNÄS</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4320-2023</t>
        </is>
      </c>
      <c r="B281" t="inlineStr">
        <is>
          <t>avverkningsanmälan</t>
        </is>
      </c>
      <c r="C281" t="inlineStr">
        <is>
          <t>Föryngringsavverkning</t>
        </is>
      </c>
      <c r="D281" s="1" t="n">
        <v>44953</v>
      </c>
      <c r="E281" s="1" t="n">
        <v>46316</v>
      </c>
      <c r="F281" t="inlineStr">
        <is>
          <t>SÖDERMANLANDS LÄN</t>
        </is>
      </c>
      <c r="G281" t="inlineStr">
        <is>
          <t>STRÄNGNÄS</t>
        </is>
      </c>
      <c r="H281" t="inlineStr">
        <is>
          <t>Allmännings- och besparingsskogar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20167-2023</t>
        </is>
      </c>
      <c r="B282" t="inlineStr">
        <is>
          <t>avverkningsanmälan</t>
        </is>
      </c>
      <c r="C282" t="inlineStr">
        <is>
          <t>Föryngringsavverkning</t>
        </is>
      </c>
      <c r="D282" s="1" t="n">
        <v>45051</v>
      </c>
      <c r="E282" s="1" t="n">
        <v>46316</v>
      </c>
      <c r="F282" t="inlineStr">
        <is>
          <t>SÖDERMANLANDS LÄN</t>
        </is>
      </c>
      <c r="G282" t="inlineStr">
        <is>
          <t>STRÄNGNÄS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12619-2025</t>
        </is>
      </c>
      <c r="B283" t="inlineStr">
        <is>
          <t>avverkningsanmälan</t>
        </is>
      </c>
      <c r="C283" t="inlineStr">
        <is>
          <t>Föryngringsavverkning</t>
        </is>
      </c>
      <c r="D283" s="1" t="n">
        <v>45733</v>
      </c>
      <c r="E283" s="1" t="n">
        <v>46316</v>
      </c>
      <c r="F283" t="inlineStr">
        <is>
          <t>SÖDERMANLANDS LÄN</t>
        </is>
      </c>
      <c r="G283" t="inlineStr">
        <is>
          <t>STRÄNGNÄS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48827-2023</t>
        </is>
      </c>
      <c r="B284" t="inlineStr">
        <is>
          <t>avverkningsanmälan</t>
        </is>
      </c>
      <c r="C284" t="inlineStr">
        <is>
          <t>Föryngringsavverkning</t>
        </is>
      </c>
      <c r="D284" s="1" t="n">
        <v>45204</v>
      </c>
      <c r="E284" s="1" t="n">
        <v>46316</v>
      </c>
      <c r="F284" t="inlineStr">
        <is>
          <t>SÖDERMANLANDS LÄN</t>
        </is>
      </c>
      <c r="G284" t="inlineStr">
        <is>
          <t>STRÄNGNÄS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34486-2026</t>
        </is>
      </c>
      <c r="B285" t="inlineStr">
        <is>
          <t>avverkningsanmälan</t>
        </is>
      </c>
      <c r="C285" t="inlineStr">
        <is>
          <t>Föryngringsavverkning</t>
        </is>
      </c>
      <c r="D285" s="1" t="n">
        <v>46255</v>
      </c>
      <c r="E285" s="1" t="n">
        <v>46316</v>
      </c>
      <c r="F285" t="inlineStr">
        <is>
          <t>SÖDERMANLANDS LÄN</t>
        </is>
      </c>
      <c r="G285" t="inlineStr">
        <is>
          <t>STRÄNGNÄS</t>
        </is>
      </c>
      <c r="H285" t="inlineStr">
        <is>
          <t>Allmännings- och besparingsskogar</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60749-2021</t>
        </is>
      </c>
      <c r="B286" t="inlineStr">
        <is>
          <t>avverkningsanmälan</t>
        </is>
      </c>
      <c r="C286" t="inlineStr">
        <is>
          <t>Föryngringsavverkning</t>
        </is>
      </c>
      <c r="D286" s="1" t="n">
        <v>44496</v>
      </c>
      <c r="E286" s="1" t="n">
        <v>46316</v>
      </c>
      <c r="F286" t="inlineStr">
        <is>
          <t>SÖDERMANLANDS LÄN</t>
        </is>
      </c>
      <c r="G286" t="inlineStr">
        <is>
          <t>STRÄNGNÄS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20506-2022</t>
        </is>
      </c>
      <c r="B287" t="inlineStr">
        <is>
          <t>avverkningsanmälan</t>
        </is>
      </c>
      <c r="C287" t="inlineStr">
        <is>
          <t>Föryngringsavverkning</t>
        </is>
      </c>
      <c r="D287" s="1" t="n">
        <v>44699</v>
      </c>
      <c r="E287" s="1" t="n">
        <v>46316</v>
      </c>
      <c r="F287" t="inlineStr">
        <is>
          <t>SÖDERMANLANDS LÄN</t>
        </is>
      </c>
      <c r="G287" t="inlineStr">
        <is>
          <t>STRÄNGNÄS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46316</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46316</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46316</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9232-2023</t>
        </is>
      </c>
      <c r="B291" t="inlineStr">
        <is>
          <t>avverkningsanmälan</t>
        </is>
      </c>
      <c r="C291" t="inlineStr">
        <is>
          <t>Föryngringsavverkning</t>
        </is>
      </c>
      <c r="D291" s="1" t="n">
        <v>44980</v>
      </c>
      <c r="E291" s="1" t="n">
        <v>46316</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866-2023</t>
        </is>
      </c>
      <c r="B292" t="inlineStr">
        <is>
          <t>avverkningsanmälan</t>
        </is>
      </c>
      <c r="C292" t="inlineStr">
        <is>
          <t>Föryngringsavverkning</t>
        </is>
      </c>
      <c r="D292" s="1" t="n">
        <v>44931</v>
      </c>
      <c r="E292" s="1" t="n">
        <v>46316</v>
      </c>
      <c r="F292" t="inlineStr">
        <is>
          <t>SÖDERMANLANDS LÄN</t>
        </is>
      </c>
      <c r="G292" t="inlineStr">
        <is>
          <t>STRÄNGNÄS</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58092-2023</t>
        </is>
      </c>
      <c r="B293" t="inlineStr">
        <is>
          <t>avverkningsanmälan</t>
        </is>
      </c>
      <c r="C293" t="inlineStr">
        <is>
          <t>Avverkning för att bevara och utveckla /försöksver</t>
        </is>
      </c>
      <c r="D293" s="1" t="n">
        <v>45248</v>
      </c>
      <c r="E293" s="1" t="n">
        <v>46316</v>
      </c>
      <c r="F293" t="inlineStr">
        <is>
          <t>SÖDERMANLANDS LÄN</t>
        </is>
      </c>
      <c r="G293" t="inlineStr">
        <is>
          <t>STRÄNGNÄS</t>
        </is>
      </c>
      <c r="I293" t="n">
        <v>28.5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54598-2022</t>
        </is>
      </c>
      <c r="B294" t="inlineStr">
        <is>
          <t>avverkningsanmälan</t>
        </is>
      </c>
      <c r="C294" t="inlineStr">
        <is>
          <t>Föryngringsavverkning</t>
        </is>
      </c>
      <c r="D294" s="1" t="n">
        <v>44881</v>
      </c>
      <c r="E294" s="1" t="n">
        <v>46316</v>
      </c>
      <c r="F294" t="inlineStr">
        <is>
          <t>SÖDERMANLANDS LÄN</t>
        </is>
      </c>
      <c r="G294" t="inlineStr">
        <is>
          <t>STRÄNGNÄS</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56914-2022</t>
        </is>
      </c>
      <c r="B295" t="inlineStr">
        <is>
          <t>avverkningsanmälan</t>
        </is>
      </c>
      <c r="C295" t="inlineStr">
        <is>
          <t>Föryngringsavverkning</t>
        </is>
      </c>
      <c r="D295" s="1" t="n">
        <v>44894</v>
      </c>
      <c r="E295" s="1" t="n">
        <v>46316</v>
      </c>
      <c r="F295" t="inlineStr">
        <is>
          <t>SÖDERMANLANDS LÄN</t>
        </is>
      </c>
      <c r="G295" t="inlineStr">
        <is>
          <t>STRÄNGNÄS</t>
        </is>
      </c>
      <c r="I295" t="n">
        <v>13.2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33343-2023</t>
        </is>
      </c>
      <c r="B296" t="inlineStr">
        <is>
          <t>avverkningsanmälan</t>
        </is>
      </c>
      <c r="C296" t="inlineStr">
        <is>
          <t>Föryngringsavverkning</t>
        </is>
      </c>
      <c r="D296" s="1" t="n">
        <v>45128</v>
      </c>
      <c r="E296" s="1" t="n">
        <v>46316</v>
      </c>
      <c r="F296" t="inlineStr">
        <is>
          <t>SÖDERMANLANDS LÄN</t>
        </is>
      </c>
      <c r="G296" t="inlineStr">
        <is>
          <t>STRÄNGNÄS</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25542-2023</t>
        </is>
      </c>
      <c r="B297" t="inlineStr">
        <is>
          <t>avverkningsanmälan</t>
        </is>
      </c>
      <c r="C297" t="inlineStr">
        <is>
          <t>Föryngringsavverkning</t>
        </is>
      </c>
      <c r="D297" s="1" t="n">
        <v>45089</v>
      </c>
      <c r="E297" s="1" t="n">
        <v>46316</v>
      </c>
      <c r="F297" t="inlineStr">
        <is>
          <t>SÖDERMANLANDS LÄN</t>
        </is>
      </c>
      <c r="G297" t="inlineStr">
        <is>
          <t>STRÄNGNÄS</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36669-2026</t>
        </is>
      </c>
      <c r="B298" t="inlineStr">
        <is>
          <t>avverkningsanmälan</t>
        </is>
      </c>
      <c r="C298" t="inlineStr">
        <is>
          <t>Avverkning för annat ändamål</t>
        </is>
      </c>
      <c r="D298" s="1" t="n">
        <v>46272</v>
      </c>
      <c r="E298" s="1" t="n">
        <v>46316</v>
      </c>
      <c r="F298" t="inlineStr">
        <is>
          <t>SÖDERMANLANDS LÄN</t>
        </is>
      </c>
      <c r="G298" t="inlineStr">
        <is>
          <t>STRÄNGNÄS</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22459-2022</t>
        </is>
      </c>
      <c r="B299" t="inlineStr">
        <is>
          <t>avverkningsanmälan</t>
        </is>
      </c>
      <c r="C299" t="inlineStr">
        <is>
          <t>Föryngringsavverkning</t>
        </is>
      </c>
      <c r="D299" s="1" t="n">
        <v>44713</v>
      </c>
      <c r="E299" s="1" t="n">
        <v>46316</v>
      </c>
      <c r="F299" t="inlineStr">
        <is>
          <t>SÖDERMANLANDS LÄN</t>
        </is>
      </c>
      <c r="G299" t="inlineStr">
        <is>
          <t>STRÄNGNÄS</t>
        </is>
      </c>
      <c r="H299" t="inlineStr">
        <is>
          <t>Övriga Aktiebolag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44618-2023</t>
        </is>
      </c>
      <c r="B300" t="inlineStr">
        <is>
          <t>avverkningsanmälan</t>
        </is>
      </c>
      <c r="C300" t="inlineStr">
        <is>
          <t>Föryngringsavverkning</t>
        </is>
      </c>
      <c r="D300" s="1" t="n">
        <v>45189</v>
      </c>
      <c r="E300" s="1" t="n">
        <v>46316</v>
      </c>
      <c r="F300" t="inlineStr">
        <is>
          <t>SÖDERMANLANDS LÄN</t>
        </is>
      </c>
      <c r="G300" t="inlineStr">
        <is>
          <t>STRÄNGNÄS</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15193-2023</t>
        </is>
      </c>
      <c r="B301" t="inlineStr">
        <is>
          <t>avverkningsanmälan</t>
        </is>
      </c>
      <c r="C301" t="inlineStr">
        <is>
          <t>Föryngringsavverkning</t>
        </is>
      </c>
      <c r="D301" s="1" t="n">
        <v>45016</v>
      </c>
      <c r="E301" s="1" t="n">
        <v>46316</v>
      </c>
      <c r="F301" t="inlineStr">
        <is>
          <t>SÖDERMANLANDS LÄN</t>
        </is>
      </c>
      <c r="G301" t="inlineStr">
        <is>
          <t>STRÄNGNÄS</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20815-2023</t>
        </is>
      </c>
      <c r="B302" t="inlineStr">
        <is>
          <t>avverkningsanmälan</t>
        </is>
      </c>
      <c r="C302" t="inlineStr">
        <is>
          <t>Föryngringsavverkning</t>
        </is>
      </c>
      <c r="D302" s="1" t="n">
        <v>45058</v>
      </c>
      <c r="E302" s="1" t="n">
        <v>46316</v>
      </c>
      <c r="F302" t="inlineStr">
        <is>
          <t>SÖDERMANLANDS LÄN</t>
        </is>
      </c>
      <c r="G302" t="inlineStr">
        <is>
          <t>STRÄNGNÄS</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3759-2025</t>
        </is>
      </c>
      <c r="B303" t="inlineStr">
        <is>
          <t>avverkningsanmälan</t>
        </is>
      </c>
      <c r="C303" t="inlineStr">
        <is>
          <t>Föryngringsavverkning</t>
        </is>
      </c>
      <c r="D303" s="1" t="n">
        <v>45681</v>
      </c>
      <c r="E303" s="1" t="n">
        <v>46316</v>
      </c>
      <c r="F303" t="inlineStr">
        <is>
          <t>SÖDERMANLANDS LÄN</t>
        </is>
      </c>
      <c r="G303" t="inlineStr">
        <is>
          <t>STRÄNGNÄS</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3761-2025</t>
        </is>
      </c>
      <c r="B304" t="inlineStr">
        <is>
          <t>avverkningsanmälan</t>
        </is>
      </c>
      <c r="C304" t="inlineStr">
        <is>
          <t>Föryngringsavverkning</t>
        </is>
      </c>
      <c r="D304" s="1" t="n">
        <v>45681</v>
      </c>
      <c r="E304" s="1" t="n">
        <v>46316</v>
      </c>
      <c r="F304" t="inlineStr">
        <is>
          <t>SÖDERMANLANDS LÄN</t>
        </is>
      </c>
      <c r="G304" t="inlineStr">
        <is>
          <t>STRÄNGNÄS</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8493-2022</t>
        </is>
      </c>
      <c r="B305" t="inlineStr">
        <is>
          <t>avverkningsanmälan</t>
        </is>
      </c>
      <c r="C305" t="inlineStr">
        <is>
          <t>Föryngringsavverkning</t>
        </is>
      </c>
      <c r="D305" s="1" t="n">
        <v>44613</v>
      </c>
      <c r="E305" s="1" t="n">
        <v>46316</v>
      </c>
      <c r="F305" t="inlineStr">
        <is>
          <t>SÖDERMANLANDS LÄN</t>
        </is>
      </c>
      <c r="G305" t="inlineStr">
        <is>
          <t>STRÄNGNÄS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41503-2022</t>
        </is>
      </c>
      <c r="B306" t="inlineStr">
        <is>
          <t>avverkningsanmälan</t>
        </is>
      </c>
      <c r="C306" t="inlineStr">
        <is>
          <t>Föryngringsavverkning</t>
        </is>
      </c>
      <c r="D306" s="1" t="n">
        <v>44827</v>
      </c>
      <c r="E306" s="1" t="n">
        <v>46316</v>
      </c>
      <c r="F306" t="inlineStr">
        <is>
          <t>SÖDERMANLANDS LÄN</t>
        </is>
      </c>
      <c r="G306" t="inlineStr">
        <is>
          <t>STRÄNGNÄS</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15572-2024</t>
        </is>
      </c>
      <c r="B307" t="inlineStr">
        <is>
          <t>avverkningsanmälan</t>
        </is>
      </c>
      <c r="C307" t="inlineStr">
        <is>
          <t>Föryngringsavverkning</t>
        </is>
      </c>
      <c r="D307" s="1" t="n">
        <v>45401</v>
      </c>
      <c r="E307" s="1" t="n">
        <v>46316</v>
      </c>
      <c r="F307" t="inlineStr">
        <is>
          <t>SÖDERMANLANDS LÄN</t>
        </is>
      </c>
      <c r="G307" t="inlineStr">
        <is>
          <t>STRÄNGNÄS</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28104-2025</t>
        </is>
      </c>
      <c r="B308" t="inlineStr">
        <is>
          <t>avverkningsanmälan</t>
        </is>
      </c>
      <c r="C308" t="inlineStr">
        <is>
          <t>Föryngringsavverkning</t>
        </is>
      </c>
      <c r="D308" s="1" t="n">
        <v>45817</v>
      </c>
      <c r="E308" s="1" t="n">
        <v>46316</v>
      </c>
      <c r="F308" t="inlineStr">
        <is>
          <t>SÖDERMANLANDS LÄN</t>
        </is>
      </c>
      <c r="G308" t="inlineStr">
        <is>
          <t>STRÄNGNÄS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12818-2023</t>
        </is>
      </c>
      <c r="B309" t="inlineStr">
        <is>
          <t>avverkningsanmälan</t>
        </is>
      </c>
      <c r="C309" t="inlineStr">
        <is>
          <t>Avverkning för annat ändamål</t>
        </is>
      </c>
      <c r="D309" s="1" t="n">
        <v>45001</v>
      </c>
      <c r="E309" s="1" t="n">
        <v>46316</v>
      </c>
      <c r="F309" t="inlineStr">
        <is>
          <t>SÖDERMANLANDS LÄN</t>
        </is>
      </c>
      <c r="G309" t="inlineStr">
        <is>
          <t>STRÄNGNÄS</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36811-2022</t>
        </is>
      </c>
      <c r="B310" t="inlineStr">
        <is>
          <t>avverkningsanmälan</t>
        </is>
      </c>
      <c r="C310" t="inlineStr">
        <is>
          <t>Föryngringsavverkning</t>
        </is>
      </c>
      <c r="D310" s="1" t="n">
        <v>44805</v>
      </c>
      <c r="E310" s="1" t="n">
        <v>46316</v>
      </c>
      <c r="F310" t="inlineStr">
        <is>
          <t>SÖDERMANLANDS LÄN</t>
        </is>
      </c>
      <c r="G310" t="inlineStr">
        <is>
          <t>STRÄNGNÄS</t>
        </is>
      </c>
      <c r="I310" t="n">
        <v>11.6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3845-2023</t>
        </is>
      </c>
      <c r="B311" t="inlineStr">
        <is>
          <t>samrådsanmälan</t>
        </is>
      </c>
      <c r="C311" t="inlineStr">
        <is>
          <t>Annan skogsbruksåtgärd</t>
        </is>
      </c>
      <c r="D311" s="1" t="n">
        <v>45235</v>
      </c>
      <c r="E311" s="1" t="n">
        <v>46316</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3717-2023</t>
        </is>
      </c>
      <c r="B312" t="inlineStr">
        <is>
          <t>samrådsanmälan</t>
        </is>
      </c>
      <c r="C312" t="inlineStr">
        <is>
          <t>Annan skogsbruksåtgärd</t>
        </is>
      </c>
      <c r="D312" s="1" t="n">
        <v>45226</v>
      </c>
      <c r="E312" s="1" t="n">
        <v>46316</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3431-2025</t>
        </is>
      </c>
      <c r="B313" t="inlineStr">
        <is>
          <t>samrådsanmälan</t>
        </is>
      </c>
      <c r="C313" t="inlineStr">
        <is>
          <t>Annan skogsbruksåtgärd</t>
        </is>
      </c>
      <c r="D313" s="1" t="n">
        <v>45995</v>
      </c>
      <c r="E313" s="1" t="n">
        <v>46316</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c r="A314" t="inlineStr">
        <is>
          <t>S 41-2026</t>
        </is>
      </c>
      <c r="B314" t="inlineStr">
        <is>
          <t>samrådsanmälan</t>
        </is>
      </c>
      <c r="C314" t="inlineStr">
        <is>
          <t>Annan skogsbruksåtgärd</t>
        </is>
      </c>
      <c r="D314" s="1" t="n">
        <v>46027</v>
      </c>
      <c r="E314" s="1" t="n">
        <v>46316</v>
      </c>
      <c r="F314" t="inlineStr">
        <is>
          <t>SÖDERMANLANDS LÄN</t>
        </is>
      </c>
      <c r="G314" t="inlineStr">
        <is>
          <t>STRÄNGNÄS</t>
        </is>
      </c>
      <c r="I314" t="n">
        <v>4.8</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2026-10-21T02:01:15Z</dcterms:created>
  <dcterms:modified xmlns:dcterms="http://purl.org/dc/terms/" xmlns:xsi="http://www.w3.org/2001/XMLSchema-instance" xsi:type="dcterms:W3CDTF">2026-10-21T02:01:15Z</dcterms:modified>
</cp:coreProperties>
</file>