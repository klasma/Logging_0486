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45875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45875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45875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45875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45875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45875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45875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45875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45875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45875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45875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45875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45875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45875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45875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45875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45875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45875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45875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45875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45875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45875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45875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45875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45875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45875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45875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45875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45875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45875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43378-2020</t>
        </is>
      </c>
      <c r="B32" s="1" t="n">
        <v>44081</v>
      </c>
      <c r="C32" s="1" t="n">
        <v>45875</v>
      </c>
      <c r="D32" t="inlineStr">
        <is>
          <t>SÖDERMANLANDS LÄN</t>
        </is>
      </c>
      <c r="E32" t="inlineStr">
        <is>
          <t>STRÄNGNÄS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Bredbrämad bastardsvärmare</t>
        </is>
      </c>
      <c r="S32">
        <f>HYPERLINK("https://klasma.github.io/Logging_0486/artfynd/A 43378-2020 artfynd.xlsx", "A 43378-2020")</f>
        <v/>
      </c>
      <c r="T32">
        <f>HYPERLINK("https://klasma.github.io/Logging_0486/kartor/A 43378-2020 karta.png", "A 43378-2020")</f>
        <v/>
      </c>
      <c r="V32">
        <f>HYPERLINK("https://klasma.github.io/Logging_0486/klagomål/A 43378-2020 FSC-klagomål.docx", "A 43378-2020")</f>
        <v/>
      </c>
      <c r="W32">
        <f>HYPERLINK("https://klasma.github.io/Logging_0486/klagomålsmail/A 43378-2020 FSC-klagomål mail.docx", "A 43378-2020")</f>
        <v/>
      </c>
      <c r="X32">
        <f>HYPERLINK("https://klasma.github.io/Logging_0486/tillsyn/A 43378-2020 tillsynsbegäran.docx", "A 43378-2020")</f>
        <v/>
      </c>
      <c r="Y32">
        <f>HYPERLINK("https://klasma.github.io/Logging_0486/tillsynsmail/A 43378-2020 tillsynsbegäran mail.docx", "A 43378-2020")</f>
        <v/>
      </c>
    </row>
    <row r="33" ht="15" customHeight="1">
      <c r="A33" t="inlineStr">
        <is>
          <t>A 58011-2020</t>
        </is>
      </c>
      <c r="B33" s="1" t="n">
        <v>44141</v>
      </c>
      <c r="C33" s="1" t="n">
        <v>45875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Kommuner</t>
        </is>
      </c>
      <c r="G33" t="n">
        <v>11.1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HYPERLINK("https://klasma.github.io/Logging_0486/artfynd/A 58011-2020 artfynd.xlsx", "A 58011-2020")</f>
        <v/>
      </c>
      <c r="T33">
        <f>HYPERLINK("https://klasma.github.io/Logging_0486/kartor/A 58011-2020 karta.png", "A 58011-2020")</f>
        <v/>
      </c>
      <c r="V33">
        <f>HYPERLINK("https://klasma.github.io/Logging_0486/klagomål/A 58011-2020 FSC-klagomål.docx", "A 58011-2020")</f>
        <v/>
      </c>
      <c r="W33">
        <f>HYPERLINK("https://klasma.github.io/Logging_0486/klagomålsmail/A 58011-2020 FSC-klagomål mail.docx", "A 58011-2020")</f>
        <v/>
      </c>
      <c r="X33">
        <f>HYPERLINK("https://klasma.github.io/Logging_0486/tillsyn/A 58011-2020 tillsynsbegäran.docx", "A 58011-2020")</f>
        <v/>
      </c>
      <c r="Y33">
        <f>HYPERLINK("https://klasma.github.io/Logging_0486/tillsynsmail/A 58011-2020 tillsynsbegäran mail.docx", "A 58011-2020")</f>
        <v/>
      </c>
    </row>
    <row r="34" ht="15" customHeight="1">
      <c r="A34" t="inlineStr">
        <is>
          <t>A 64960-2020</t>
        </is>
      </c>
      <c r="B34" s="1" t="n">
        <v>44167</v>
      </c>
      <c r="C34" s="1" t="n">
        <v>45875</v>
      </c>
      <c r="D34" t="inlineStr">
        <is>
          <t>SÖDERMANLANDS LÄN</t>
        </is>
      </c>
      <c r="E34" t="inlineStr">
        <is>
          <t>STRÄNGNÄS</t>
        </is>
      </c>
      <c r="G34" t="n">
        <v>7.7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HYPERLINK("https://klasma.github.io/Logging_0486/artfynd/A 64960-2020 artfynd.xlsx", "A 64960-2020")</f>
        <v/>
      </c>
      <c r="T34">
        <f>HYPERLINK("https://klasma.github.io/Logging_0486/kartor/A 64960-2020 karta.png", "A 64960-2020")</f>
        <v/>
      </c>
      <c r="U34">
        <f>HYPERLINK("https://klasma.github.io/Logging_0486/knärot/A 64960-2020 karta knärot.png", "A 64960-2020")</f>
        <v/>
      </c>
      <c r="V34">
        <f>HYPERLINK("https://klasma.github.io/Logging_0486/klagomål/A 64960-2020 FSC-klagomål.docx", "A 64960-2020")</f>
        <v/>
      </c>
      <c r="W34">
        <f>HYPERLINK("https://klasma.github.io/Logging_0486/klagomålsmail/A 64960-2020 FSC-klagomål mail.docx", "A 64960-2020")</f>
        <v/>
      </c>
      <c r="X34">
        <f>HYPERLINK("https://klasma.github.io/Logging_0486/tillsyn/A 64960-2020 tillsynsbegäran.docx", "A 64960-2020")</f>
        <v/>
      </c>
      <c r="Y34">
        <f>HYPERLINK("https://klasma.github.io/Logging_0486/tillsynsmail/A 64960-2020 tillsynsbegäran mail.docx", "A 64960-2020")</f>
        <v/>
      </c>
    </row>
    <row r="35" ht="15" customHeight="1">
      <c r="A35" t="inlineStr">
        <is>
          <t>A 33191-2021</t>
        </is>
      </c>
      <c r="B35" s="1" t="n">
        <v>44376</v>
      </c>
      <c r="C35" s="1" t="n">
        <v>45875</v>
      </c>
      <c r="D35" t="inlineStr">
        <is>
          <t>SÖDERMANLANDS LÄN</t>
        </is>
      </c>
      <c r="E35" t="inlineStr">
        <is>
          <t>STRÄNGNÄS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HYPERLINK("https://klasma.github.io/Logging_0486/artfynd/A 33191-2021 artfynd.xlsx", "A 33191-2021")</f>
        <v/>
      </c>
      <c r="T35">
        <f>HYPERLINK("https://klasma.github.io/Logging_0486/kartor/A 33191-2021 karta.png", "A 33191-2021")</f>
        <v/>
      </c>
      <c r="V35">
        <f>HYPERLINK("https://klasma.github.io/Logging_0486/klagomål/A 33191-2021 FSC-klagomål.docx", "A 33191-2021")</f>
        <v/>
      </c>
      <c r="W35">
        <f>HYPERLINK("https://klasma.github.io/Logging_0486/klagomålsmail/A 33191-2021 FSC-klagomål mail.docx", "A 33191-2021")</f>
        <v/>
      </c>
      <c r="X35">
        <f>HYPERLINK("https://klasma.github.io/Logging_0486/tillsyn/A 33191-2021 tillsynsbegäran.docx", "A 33191-2021")</f>
        <v/>
      </c>
      <c r="Y35">
        <f>HYPERLINK("https://klasma.github.io/Logging_0486/tillsynsmail/A 33191-2021 tillsynsbegäran mail.docx", "A 33191-2021")</f>
        <v/>
      </c>
    </row>
    <row r="36" ht="15" customHeight="1">
      <c r="A36" t="inlineStr">
        <is>
          <t>A 63301-2021</t>
        </is>
      </c>
      <c r="B36" s="1" t="n">
        <v>44505</v>
      </c>
      <c r="C36" s="1" t="n">
        <v>45875</v>
      </c>
      <c r="D36" t="inlineStr">
        <is>
          <t>SÖDERMANLANDS LÄN</t>
        </is>
      </c>
      <c r="E36" t="inlineStr">
        <is>
          <t>STRÄNGNÄS</t>
        </is>
      </c>
      <c r="G36" t="n">
        <v>11.6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Nästrot</t>
        </is>
      </c>
      <c r="S36">
        <f>HYPERLINK("https://klasma.github.io/Logging_0486/artfynd/A 63301-2021 artfynd.xlsx", "A 63301-2021")</f>
        <v/>
      </c>
      <c r="T36">
        <f>HYPERLINK("https://klasma.github.io/Logging_0486/kartor/A 63301-2021 karta.png", "A 63301-2021")</f>
        <v/>
      </c>
      <c r="V36">
        <f>HYPERLINK("https://klasma.github.io/Logging_0486/klagomål/A 63301-2021 FSC-klagomål.docx", "A 63301-2021")</f>
        <v/>
      </c>
      <c r="W36">
        <f>HYPERLINK("https://klasma.github.io/Logging_0486/klagomålsmail/A 63301-2021 FSC-klagomål mail.docx", "A 63301-2021")</f>
        <v/>
      </c>
      <c r="X36">
        <f>HYPERLINK("https://klasma.github.io/Logging_0486/tillsyn/A 63301-2021 tillsynsbegäran.docx", "A 63301-2021")</f>
        <v/>
      </c>
      <c r="Y36">
        <f>HYPERLINK("https://klasma.github.io/Logging_0486/tillsynsmail/A 63301-2021 tillsynsbegäran mail.docx", "A 63301-2021")</f>
        <v/>
      </c>
    </row>
    <row r="37" ht="15" customHeight="1">
      <c r="A37" t="inlineStr">
        <is>
          <t>A 65330-2021</t>
        </is>
      </c>
      <c r="B37" s="1" t="n">
        <v>44515</v>
      </c>
      <c r="C37" s="1" t="n">
        <v>45875</v>
      </c>
      <c r="D37" t="inlineStr">
        <is>
          <t>SÖDERMANLANDS LÄN</t>
        </is>
      </c>
      <c r="E37" t="inlineStr">
        <is>
          <t>STRÄNGNÄS</t>
        </is>
      </c>
      <c r="G37" t="n">
        <v>6.4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HYPERLINK("https://klasma.github.io/Logging_0486/artfynd/A 65330-2021 artfynd.xlsx", "A 65330-2021")</f>
        <v/>
      </c>
      <c r="T37">
        <f>HYPERLINK("https://klasma.github.io/Logging_0486/kartor/A 65330-2021 karta.png", "A 65330-2021")</f>
        <v/>
      </c>
      <c r="V37">
        <f>HYPERLINK("https://klasma.github.io/Logging_0486/klagomål/A 65330-2021 FSC-klagomål.docx", "A 65330-2021")</f>
        <v/>
      </c>
      <c r="W37">
        <f>HYPERLINK("https://klasma.github.io/Logging_0486/klagomålsmail/A 65330-2021 FSC-klagomål mail.docx", "A 65330-2021")</f>
        <v/>
      </c>
      <c r="X37">
        <f>HYPERLINK("https://klasma.github.io/Logging_0486/tillsyn/A 65330-2021 tillsynsbegäran.docx", "A 65330-2021")</f>
        <v/>
      </c>
      <c r="Y37">
        <f>HYPERLINK("https://klasma.github.io/Logging_0486/tillsynsmail/A 65330-2021 tillsynsbegäran mail.docx", "A 65330-2021")</f>
        <v/>
      </c>
      <c r="Z37">
        <f>HYPERLINK("https://klasma.github.io/Logging_0486/fåglar/A 65330-2021 prioriterade fågelarter.docx", "A 65330-2021")</f>
        <v/>
      </c>
    </row>
    <row r="38" ht="15" customHeight="1">
      <c r="A38" t="inlineStr">
        <is>
          <t>A 1819-2022</t>
        </is>
      </c>
      <c r="B38" s="1" t="n">
        <v>44574</v>
      </c>
      <c r="C38" s="1" t="n">
        <v>45875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4.5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HYPERLINK("https://klasma.github.io/Logging_0486/artfynd/A 1819-2022 artfynd.xlsx", "A 1819-2022")</f>
        <v/>
      </c>
      <c r="T38">
        <f>HYPERLINK("https://klasma.github.io/Logging_0486/kartor/A 1819-2022 karta.png", "A 1819-2022")</f>
        <v/>
      </c>
      <c r="V38">
        <f>HYPERLINK("https://klasma.github.io/Logging_0486/klagomål/A 1819-2022 FSC-klagomål.docx", "A 1819-2022")</f>
        <v/>
      </c>
      <c r="W38">
        <f>HYPERLINK("https://klasma.github.io/Logging_0486/klagomålsmail/A 1819-2022 FSC-klagomål mail.docx", "A 1819-2022")</f>
        <v/>
      </c>
      <c r="X38">
        <f>HYPERLINK("https://klasma.github.io/Logging_0486/tillsyn/A 1819-2022 tillsynsbegäran.docx", "A 1819-2022")</f>
        <v/>
      </c>
      <c r="Y38">
        <f>HYPERLINK("https://klasma.github.io/Logging_0486/tillsynsmail/A 1819-2022 tillsynsbegäran mail.docx", "A 1819-2022")</f>
        <v/>
      </c>
      <c r="Z38">
        <f>HYPERLINK("https://klasma.github.io/Logging_0486/fåglar/A 1819-2022 prioriterade fågelarter.docx", "A 1819-2022")</f>
        <v/>
      </c>
    </row>
    <row r="39" ht="15" customHeight="1">
      <c r="A39" t="inlineStr">
        <is>
          <t>A 2493-2022</t>
        </is>
      </c>
      <c r="B39" s="1" t="n">
        <v>44579</v>
      </c>
      <c r="C39" s="1" t="n">
        <v>45875</v>
      </c>
      <c r="D39" t="inlineStr">
        <is>
          <t>SÖDERMANLANDS LÄN</t>
        </is>
      </c>
      <c r="E39" t="inlineStr">
        <is>
          <t>STRÄNGNÄS</t>
        </is>
      </c>
      <c r="G39" t="n">
        <v>36.4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HYPERLINK("https://klasma.github.io/Logging_0486/artfynd/A 2493-2022 artfynd.xlsx", "A 2493-2022")</f>
        <v/>
      </c>
      <c r="T39">
        <f>HYPERLINK("https://klasma.github.io/Logging_0486/kartor/A 2493-2022 karta.png", "A 2493-2022")</f>
        <v/>
      </c>
      <c r="V39">
        <f>HYPERLINK("https://klasma.github.io/Logging_0486/klagomål/A 2493-2022 FSC-klagomål.docx", "A 2493-2022")</f>
        <v/>
      </c>
      <c r="W39">
        <f>HYPERLINK("https://klasma.github.io/Logging_0486/klagomålsmail/A 2493-2022 FSC-klagomål mail.docx", "A 2493-2022")</f>
        <v/>
      </c>
      <c r="X39">
        <f>HYPERLINK("https://klasma.github.io/Logging_0486/tillsyn/A 2493-2022 tillsynsbegäran.docx", "A 2493-2022")</f>
        <v/>
      </c>
      <c r="Y39">
        <f>HYPERLINK("https://klasma.github.io/Logging_0486/tillsynsmail/A 2493-2022 tillsynsbegäran mail.docx", "A 2493-2022")</f>
        <v/>
      </c>
    </row>
    <row r="40" ht="15" customHeight="1">
      <c r="A40" t="inlineStr">
        <is>
          <t>A 24454-2022</t>
        </is>
      </c>
      <c r="B40" s="1" t="n">
        <v>44726</v>
      </c>
      <c r="C40" s="1" t="n">
        <v>45875</v>
      </c>
      <c r="D40" t="inlineStr">
        <is>
          <t>SÖDERMANLANDS LÄN</t>
        </is>
      </c>
      <c r="E40" t="inlineStr">
        <is>
          <t>STRÄNGNÄS</t>
        </is>
      </c>
      <c r="G40" t="n">
        <v>12.5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HYPERLINK("https://klasma.github.io/Logging_0486/artfynd/A 24454-2022 artfynd.xlsx", "A 24454-2022")</f>
        <v/>
      </c>
      <c r="T40">
        <f>HYPERLINK("https://klasma.github.io/Logging_0486/kartor/A 24454-2022 karta.png", "A 24454-2022")</f>
        <v/>
      </c>
      <c r="V40">
        <f>HYPERLINK("https://klasma.github.io/Logging_0486/klagomål/A 24454-2022 FSC-klagomål.docx", "A 24454-2022")</f>
        <v/>
      </c>
      <c r="W40">
        <f>HYPERLINK("https://klasma.github.io/Logging_0486/klagomålsmail/A 24454-2022 FSC-klagomål mail.docx", "A 24454-2022")</f>
        <v/>
      </c>
      <c r="X40">
        <f>HYPERLINK("https://klasma.github.io/Logging_0486/tillsyn/A 24454-2022 tillsynsbegäran.docx", "A 24454-2022")</f>
        <v/>
      </c>
      <c r="Y40">
        <f>HYPERLINK("https://klasma.github.io/Logging_0486/tillsynsmail/A 24454-2022 tillsynsbegäran mail.docx", "A 24454-2022")</f>
        <v/>
      </c>
      <c r="Z40">
        <f>HYPERLINK("https://klasma.github.io/Logging_0486/fåglar/A 24454-2022 prioriterade fågelarter.docx", "A 24454-2022")</f>
        <v/>
      </c>
    </row>
    <row r="41" ht="15" customHeight="1">
      <c r="A41" t="inlineStr">
        <is>
          <t>A 41511-2022</t>
        </is>
      </c>
      <c r="B41" s="1" t="n">
        <v>44827</v>
      </c>
      <c r="C41" s="1" t="n">
        <v>45875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HYPERLINK("https://klasma.github.io/Logging_0486/artfynd/A 41511-2022 artfynd.xlsx", "A 41511-2022")</f>
        <v/>
      </c>
      <c r="T41">
        <f>HYPERLINK("https://klasma.github.io/Logging_0486/kartor/A 41511-2022 karta.png", "A 41511-2022")</f>
        <v/>
      </c>
      <c r="V41">
        <f>HYPERLINK("https://klasma.github.io/Logging_0486/klagomål/A 41511-2022 FSC-klagomål.docx", "A 41511-2022")</f>
        <v/>
      </c>
      <c r="W41">
        <f>HYPERLINK("https://klasma.github.io/Logging_0486/klagomålsmail/A 41511-2022 FSC-klagomål mail.docx", "A 41511-2022")</f>
        <v/>
      </c>
      <c r="X41">
        <f>HYPERLINK("https://klasma.github.io/Logging_0486/tillsyn/A 41511-2022 tillsynsbegäran.docx", "A 41511-2022")</f>
        <v/>
      </c>
      <c r="Y41">
        <f>HYPERLINK("https://klasma.github.io/Logging_0486/tillsynsmail/A 41511-2022 tillsynsbegäran mail.docx", "A 41511-2022")</f>
        <v/>
      </c>
    </row>
    <row r="42" ht="15" customHeight="1">
      <c r="A42" t="inlineStr">
        <is>
          <t>A 43666-2022</t>
        </is>
      </c>
      <c r="B42" s="1" t="n">
        <v>44834</v>
      </c>
      <c r="C42" s="1" t="n">
        <v>45875</v>
      </c>
      <c r="D42" t="inlineStr">
        <is>
          <t>SÖDERMANLANDS LÄN</t>
        </is>
      </c>
      <c r="E42" t="inlineStr">
        <is>
          <t>STRÄNGNÄS</t>
        </is>
      </c>
      <c r="G42" t="n">
        <v>4.6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HYPERLINK("https://klasma.github.io/Logging_0486/artfynd/A 43666-2022 artfynd.xlsx", "A 43666-2022")</f>
        <v/>
      </c>
      <c r="T42">
        <f>HYPERLINK("https://klasma.github.io/Logging_0486/kartor/A 43666-2022 karta.png", "A 43666-2022")</f>
        <v/>
      </c>
      <c r="V42">
        <f>HYPERLINK("https://klasma.github.io/Logging_0486/klagomål/A 43666-2022 FSC-klagomål.docx", "A 43666-2022")</f>
        <v/>
      </c>
      <c r="W42">
        <f>HYPERLINK("https://klasma.github.io/Logging_0486/klagomålsmail/A 43666-2022 FSC-klagomål mail.docx", "A 43666-2022")</f>
        <v/>
      </c>
      <c r="X42">
        <f>HYPERLINK("https://klasma.github.io/Logging_0486/tillsyn/A 43666-2022 tillsynsbegäran.docx", "A 43666-2022")</f>
        <v/>
      </c>
      <c r="Y42">
        <f>HYPERLINK("https://klasma.github.io/Logging_0486/tillsynsmail/A 43666-2022 tillsynsbegäran mail.docx", "A 43666-2022")</f>
        <v/>
      </c>
    </row>
    <row r="43" ht="15" customHeight="1">
      <c r="A43" t="inlineStr">
        <is>
          <t>A 692-2023</t>
        </is>
      </c>
      <c r="B43" s="1" t="n">
        <v>44930</v>
      </c>
      <c r="C43" s="1" t="n">
        <v>45875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19.8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Åttafläckig praktbagge</t>
        </is>
      </c>
      <c r="S43">
        <f>HYPERLINK("https://klasma.github.io/Logging_0486/artfynd/A 692-2023 artfynd.xlsx", "A 692-2023")</f>
        <v/>
      </c>
      <c r="T43">
        <f>HYPERLINK("https://klasma.github.io/Logging_0486/kartor/A 692-2023 karta.png", "A 692-2023")</f>
        <v/>
      </c>
      <c r="V43">
        <f>HYPERLINK("https://klasma.github.io/Logging_0486/klagomål/A 692-2023 FSC-klagomål.docx", "A 692-2023")</f>
        <v/>
      </c>
      <c r="W43">
        <f>HYPERLINK("https://klasma.github.io/Logging_0486/klagomålsmail/A 692-2023 FSC-klagomål mail.docx", "A 692-2023")</f>
        <v/>
      </c>
      <c r="X43">
        <f>HYPERLINK("https://klasma.github.io/Logging_0486/tillsyn/A 692-2023 tillsynsbegäran.docx", "A 692-2023")</f>
        <v/>
      </c>
      <c r="Y43">
        <f>HYPERLINK("https://klasma.github.io/Logging_0486/tillsynsmail/A 692-2023 tillsynsbegäran mail.docx", "A 692-2023")</f>
        <v/>
      </c>
    </row>
    <row r="44" ht="15" customHeight="1">
      <c r="A44" t="inlineStr">
        <is>
          <t>A 2303-2023</t>
        </is>
      </c>
      <c r="B44" s="1" t="n">
        <v>44942</v>
      </c>
      <c r="C44" s="1" t="n">
        <v>45875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Aktiebolag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HYPERLINK("https://klasma.github.io/Logging_0486/artfynd/A 2303-2023 artfynd.xlsx", "A 2303-2023")</f>
        <v/>
      </c>
      <c r="T44">
        <f>HYPERLINK("https://klasma.github.io/Logging_0486/kartor/A 2303-2023 karta.png", "A 2303-2023")</f>
        <v/>
      </c>
      <c r="V44">
        <f>HYPERLINK("https://klasma.github.io/Logging_0486/klagomål/A 2303-2023 FSC-klagomål.docx", "A 2303-2023")</f>
        <v/>
      </c>
      <c r="W44">
        <f>HYPERLINK("https://klasma.github.io/Logging_0486/klagomålsmail/A 2303-2023 FSC-klagomål mail.docx", "A 2303-2023")</f>
        <v/>
      </c>
      <c r="X44">
        <f>HYPERLINK("https://klasma.github.io/Logging_0486/tillsyn/A 2303-2023 tillsynsbegäran.docx", "A 2303-2023")</f>
        <v/>
      </c>
      <c r="Y44">
        <f>HYPERLINK("https://klasma.github.io/Logging_0486/tillsynsmail/A 2303-2023 tillsynsbegäran mail.docx", "A 2303-2023")</f>
        <v/>
      </c>
    </row>
    <row r="45" ht="15" customHeight="1">
      <c r="A45" t="inlineStr">
        <is>
          <t>A 6570-2023</t>
        </is>
      </c>
      <c r="B45" s="1" t="n">
        <v>44963</v>
      </c>
      <c r="C45" s="1" t="n">
        <v>45875</v>
      </c>
      <c r="D45" t="inlineStr">
        <is>
          <t>SÖDERMANLANDS LÄN</t>
        </is>
      </c>
      <c r="E45" t="inlineStr">
        <is>
          <t>STRÄNGNÄS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HYPERLINK("https://klasma.github.io/Logging_0486/artfynd/A 6570-2023 artfynd.xlsx", "A 6570-2023")</f>
        <v/>
      </c>
      <c r="T45">
        <f>HYPERLINK("https://klasma.github.io/Logging_0486/kartor/A 6570-2023 karta.png", "A 6570-2023")</f>
        <v/>
      </c>
      <c r="U45">
        <f>HYPERLINK("https://klasma.github.io/Logging_0486/knärot/A 6570-2023 karta knärot.png", "A 6570-2023")</f>
        <v/>
      </c>
      <c r="V45">
        <f>HYPERLINK("https://klasma.github.io/Logging_0486/klagomål/A 6570-2023 FSC-klagomål.docx", "A 6570-2023")</f>
        <v/>
      </c>
      <c r="W45">
        <f>HYPERLINK("https://klasma.github.io/Logging_0486/klagomålsmail/A 6570-2023 FSC-klagomål mail.docx", "A 6570-2023")</f>
        <v/>
      </c>
      <c r="X45">
        <f>HYPERLINK("https://klasma.github.io/Logging_0486/tillsyn/A 6570-2023 tillsynsbegäran.docx", "A 6570-2023")</f>
        <v/>
      </c>
      <c r="Y45">
        <f>HYPERLINK("https://klasma.github.io/Logging_0486/tillsynsmail/A 6570-2023 tillsynsbegäran mail.docx", "A 6570-2023")</f>
        <v/>
      </c>
    </row>
    <row r="46" ht="15" customHeight="1">
      <c r="A46" t="inlineStr">
        <is>
          <t>A 50010-2023</t>
        </is>
      </c>
      <c r="B46" s="1" t="n">
        <v>45215</v>
      </c>
      <c r="C46" s="1" t="n">
        <v>45875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Sveaskog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HYPERLINK("https://klasma.github.io/Logging_0486/artfynd/A 50010-2023 artfynd.xlsx", "A 50010-2023")</f>
        <v/>
      </c>
      <c r="T46">
        <f>HYPERLINK("https://klasma.github.io/Logging_0486/kartor/A 50010-2023 karta.png", "A 50010-2023")</f>
        <v/>
      </c>
      <c r="V46">
        <f>HYPERLINK("https://klasma.github.io/Logging_0486/klagomål/A 50010-2023 FSC-klagomål.docx", "A 50010-2023")</f>
        <v/>
      </c>
      <c r="W46">
        <f>HYPERLINK("https://klasma.github.io/Logging_0486/klagomålsmail/A 50010-2023 FSC-klagomål mail.docx", "A 50010-2023")</f>
        <v/>
      </c>
      <c r="X46">
        <f>HYPERLINK("https://klasma.github.io/Logging_0486/tillsyn/A 50010-2023 tillsynsbegäran.docx", "A 50010-2023")</f>
        <v/>
      </c>
      <c r="Y46">
        <f>HYPERLINK("https://klasma.github.io/Logging_0486/tillsynsmail/A 50010-2023 tillsynsbegäran mail.docx", "A 50010-2023")</f>
        <v/>
      </c>
    </row>
    <row r="47" ht="15" customHeight="1">
      <c r="A47" t="inlineStr">
        <is>
          <t>A 52643-2023</t>
        </is>
      </c>
      <c r="B47" s="1" t="n">
        <v>45219</v>
      </c>
      <c r="C47" s="1" t="n">
        <v>45875</v>
      </c>
      <c r="D47" t="inlineStr">
        <is>
          <t>SÖDERMANLANDS LÄN</t>
        </is>
      </c>
      <c r="E47" t="inlineStr">
        <is>
          <t>STRÄNGNÄS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Vanlig backsmörblomma</t>
        </is>
      </c>
      <c r="S47">
        <f>HYPERLINK("https://klasma.github.io/Logging_0486/artfynd/A 52643-2023 artfynd.xlsx", "A 52643-2023")</f>
        <v/>
      </c>
      <c r="T47">
        <f>HYPERLINK("https://klasma.github.io/Logging_0486/kartor/A 52643-2023 karta.png", "A 52643-2023")</f>
        <v/>
      </c>
      <c r="V47">
        <f>HYPERLINK("https://klasma.github.io/Logging_0486/klagomål/A 52643-2023 FSC-klagomål.docx", "A 52643-2023")</f>
        <v/>
      </c>
      <c r="W47">
        <f>HYPERLINK("https://klasma.github.io/Logging_0486/klagomålsmail/A 52643-2023 FSC-klagomål mail.docx", "A 52643-2023")</f>
        <v/>
      </c>
      <c r="X47">
        <f>HYPERLINK("https://klasma.github.io/Logging_0486/tillsyn/A 52643-2023 tillsynsbegäran.docx", "A 52643-2023")</f>
        <v/>
      </c>
      <c r="Y47">
        <f>HYPERLINK("https://klasma.github.io/Logging_0486/tillsynsmail/A 52643-2023 tillsynsbegäran mail.docx", "A 52643-2023")</f>
        <v/>
      </c>
    </row>
    <row r="48" ht="15" customHeight="1">
      <c r="A48" t="inlineStr">
        <is>
          <t>A 52320-2023</t>
        </is>
      </c>
      <c r="B48" s="1" t="n">
        <v>45224</v>
      </c>
      <c r="C48" s="1" t="n">
        <v>45875</v>
      </c>
      <c r="D48" t="inlineStr">
        <is>
          <t>SÖDERMANLANDS LÄN</t>
        </is>
      </c>
      <c r="E48" t="inlineStr">
        <is>
          <t>STRÄNGNÄS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HYPERLINK("https://klasma.github.io/Logging_0486/artfynd/A 52320-2023 artfynd.xlsx", "A 52320-2023")</f>
        <v/>
      </c>
      <c r="T48">
        <f>HYPERLINK("https://klasma.github.io/Logging_0486/kartor/A 52320-2023 karta.png", "A 52320-2023")</f>
        <v/>
      </c>
      <c r="V48">
        <f>HYPERLINK("https://klasma.github.io/Logging_0486/klagomål/A 52320-2023 FSC-klagomål.docx", "A 52320-2023")</f>
        <v/>
      </c>
      <c r="W48">
        <f>HYPERLINK("https://klasma.github.io/Logging_0486/klagomålsmail/A 52320-2023 FSC-klagomål mail.docx", "A 52320-2023")</f>
        <v/>
      </c>
      <c r="X48">
        <f>HYPERLINK("https://klasma.github.io/Logging_0486/tillsyn/A 52320-2023 tillsynsbegäran.docx", "A 52320-2023")</f>
        <v/>
      </c>
      <c r="Y48">
        <f>HYPERLINK("https://klasma.github.io/Logging_0486/tillsynsmail/A 52320-2023 tillsynsbegäran mail.docx", "A 52320-2023")</f>
        <v/>
      </c>
    </row>
    <row r="49" ht="15" customHeight="1">
      <c r="A49" t="inlineStr">
        <is>
          <t>A 53930-2023</t>
        </is>
      </c>
      <c r="B49" s="1" t="n">
        <v>45225</v>
      </c>
      <c r="C49" s="1" t="n">
        <v>45875</v>
      </c>
      <c r="D49" t="inlineStr">
        <is>
          <t>SÖDERMANLANDS LÄN</t>
        </is>
      </c>
      <c r="E49" t="inlineStr">
        <is>
          <t>STRÄNGNÄS</t>
        </is>
      </c>
      <c r="G49" t="n">
        <v>6.1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Färgginst</t>
        </is>
      </c>
      <c r="S49">
        <f>HYPERLINK("https://klasma.github.io/Logging_0486/artfynd/A 53930-2023 artfynd.xlsx", "A 53930-2023")</f>
        <v/>
      </c>
      <c r="T49">
        <f>HYPERLINK("https://klasma.github.io/Logging_0486/kartor/A 53930-2023 karta.png", "A 53930-2023")</f>
        <v/>
      </c>
      <c r="V49">
        <f>HYPERLINK("https://klasma.github.io/Logging_0486/klagomål/A 53930-2023 FSC-klagomål.docx", "A 53930-2023")</f>
        <v/>
      </c>
      <c r="W49">
        <f>HYPERLINK("https://klasma.github.io/Logging_0486/klagomålsmail/A 53930-2023 FSC-klagomål mail.docx", "A 53930-2023")</f>
        <v/>
      </c>
      <c r="X49">
        <f>HYPERLINK("https://klasma.github.io/Logging_0486/tillsyn/A 53930-2023 tillsynsbegäran.docx", "A 53930-2023")</f>
        <v/>
      </c>
      <c r="Y49">
        <f>HYPERLINK("https://klasma.github.io/Logging_0486/tillsynsmail/A 53930-2023 tillsynsbegäran mail.docx", "A 53930-2023")</f>
        <v/>
      </c>
    </row>
    <row r="50" ht="15" customHeight="1">
      <c r="A50" t="inlineStr">
        <is>
          <t>A 52888-2023</t>
        </is>
      </c>
      <c r="B50" s="1" t="n">
        <v>45226</v>
      </c>
      <c r="C50" s="1" t="n">
        <v>45875</v>
      </c>
      <c r="D50" t="inlineStr">
        <is>
          <t>SÖDERMANLANDS LÄN</t>
        </is>
      </c>
      <c r="E50" t="inlineStr">
        <is>
          <t>STRÄNGNÄS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HYPERLINK("https://klasma.github.io/Logging_0486/artfynd/A 52888-2023 artfynd.xlsx", "A 52888-2023")</f>
        <v/>
      </c>
      <c r="T50">
        <f>HYPERLINK("https://klasma.github.io/Logging_0486/kartor/A 52888-2023 karta.png", "A 52888-2023")</f>
        <v/>
      </c>
      <c r="V50">
        <f>HYPERLINK("https://klasma.github.io/Logging_0486/klagomål/A 52888-2023 FSC-klagomål.docx", "A 52888-2023")</f>
        <v/>
      </c>
      <c r="W50">
        <f>HYPERLINK("https://klasma.github.io/Logging_0486/klagomålsmail/A 52888-2023 FSC-klagomål mail.docx", "A 52888-2023")</f>
        <v/>
      </c>
      <c r="X50">
        <f>HYPERLINK("https://klasma.github.io/Logging_0486/tillsyn/A 52888-2023 tillsynsbegäran.docx", "A 52888-2023")</f>
        <v/>
      </c>
      <c r="Y50">
        <f>HYPERLINK("https://klasma.github.io/Logging_0486/tillsynsmail/A 52888-2023 tillsynsbegäran mail.docx", "A 52888-2023")</f>
        <v/>
      </c>
      <c r="Z50">
        <f>HYPERLINK("https://klasma.github.io/Logging_0486/fåglar/A 52888-2023 prioriterade fågelarter.docx", "A 52888-2023")</f>
        <v/>
      </c>
    </row>
    <row r="51" ht="15" customHeight="1">
      <c r="A51" t="inlineStr">
        <is>
          <t>A 52847-2023</t>
        </is>
      </c>
      <c r="B51" s="1" t="n">
        <v>45226</v>
      </c>
      <c r="C51" s="1" t="n">
        <v>45875</v>
      </c>
      <c r="D51" t="inlineStr">
        <is>
          <t>SÖDERMANLANDS LÄN</t>
        </is>
      </c>
      <c r="E51" t="inlineStr">
        <is>
          <t>STRÄNGNÄS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Backklöver</t>
        </is>
      </c>
      <c r="S51">
        <f>HYPERLINK("https://klasma.github.io/Logging_0486/artfynd/A 52847-2023 artfynd.xlsx", "A 52847-2023")</f>
        <v/>
      </c>
      <c r="T51">
        <f>HYPERLINK("https://klasma.github.io/Logging_0486/kartor/A 52847-2023 karta.png", "A 52847-2023")</f>
        <v/>
      </c>
      <c r="V51">
        <f>HYPERLINK("https://klasma.github.io/Logging_0486/klagomål/A 52847-2023 FSC-klagomål.docx", "A 52847-2023")</f>
        <v/>
      </c>
      <c r="W51">
        <f>HYPERLINK("https://klasma.github.io/Logging_0486/klagomålsmail/A 52847-2023 FSC-klagomål mail.docx", "A 52847-2023")</f>
        <v/>
      </c>
      <c r="X51">
        <f>HYPERLINK("https://klasma.github.io/Logging_0486/tillsyn/A 52847-2023 tillsynsbegäran.docx", "A 52847-2023")</f>
        <v/>
      </c>
      <c r="Y51">
        <f>HYPERLINK("https://klasma.github.io/Logging_0486/tillsynsmail/A 52847-2023 tillsynsbegäran mail.docx", "A 52847-2023")</f>
        <v/>
      </c>
    </row>
    <row r="52" ht="15" customHeight="1">
      <c r="A52" t="inlineStr">
        <is>
          <t>A 35360-2024</t>
        </is>
      </c>
      <c r="B52" s="1" t="n">
        <v>45531</v>
      </c>
      <c r="C52" s="1" t="n">
        <v>45875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statliga verk och myndigheter</t>
        </is>
      </c>
      <c r="G52" t="n">
        <v>7.6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HYPERLINK("https://klasma.github.io/Logging_0486/artfynd/A 35360-2024 artfynd.xlsx", "A 35360-2024")</f>
        <v/>
      </c>
      <c r="T52">
        <f>HYPERLINK("https://klasma.github.io/Logging_0486/kartor/A 35360-2024 karta.png", "A 35360-2024")</f>
        <v/>
      </c>
      <c r="V52">
        <f>HYPERLINK("https://klasma.github.io/Logging_0486/klagomål/A 35360-2024 FSC-klagomål.docx", "A 35360-2024")</f>
        <v/>
      </c>
      <c r="W52">
        <f>HYPERLINK("https://klasma.github.io/Logging_0486/klagomålsmail/A 35360-2024 FSC-klagomål mail.docx", "A 35360-2024")</f>
        <v/>
      </c>
      <c r="X52">
        <f>HYPERLINK("https://klasma.github.io/Logging_0486/tillsyn/A 35360-2024 tillsynsbegäran.docx", "A 35360-2024")</f>
        <v/>
      </c>
      <c r="Y52">
        <f>HYPERLINK("https://klasma.github.io/Logging_0486/tillsynsmail/A 35360-2024 tillsynsbegäran mail.docx", "A 35360-2024")</f>
        <v/>
      </c>
    </row>
    <row r="53" ht="15" customHeight="1">
      <c r="A53" t="inlineStr">
        <is>
          <t>A 54715-2024</t>
        </is>
      </c>
      <c r="B53" s="1" t="n">
        <v>45617</v>
      </c>
      <c r="C53" s="1" t="n">
        <v>45875</v>
      </c>
      <c r="D53" t="inlineStr">
        <is>
          <t>SÖDERMANLANDS LÄN</t>
        </is>
      </c>
      <c r="E53" t="inlineStr">
        <is>
          <t>STRÄNGNÄS</t>
        </is>
      </c>
      <c r="G53" t="n">
        <v>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HYPERLINK("https://klasma.github.io/Logging_0486/artfynd/A 54715-2024 artfynd.xlsx", "A 54715-2024")</f>
        <v/>
      </c>
      <c r="T53">
        <f>HYPERLINK("https://klasma.github.io/Logging_0486/kartor/A 54715-2024 karta.png", "A 54715-2024")</f>
        <v/>
      </c>
      <c r="V53">
        <f>HYPERLINK("https://klasma.github.io/Logging_0486/klagomål/A 54715-2024 FSC-klagomål.docx", "A 54715-2024")</f>
        <v/>
      </c>
      <c r="W53">
        <f>HYPERLINK("https://klasma.github.io/Logging_0486/klagomålsmail/A 54715-2024 FSC-klagomål mail.docx", "A 54715-2024")</f>
        <v/>
      </c>
      <c r="X53">
        <f>HYPERLINK("https://klasma.github.io/Logging_0486/tillsyn/A 54715-2024 tillsynsbegäran.docx", "A 54715-2024")</f>
        <v/>
      </c>
      <c r="Y53">
        <f>HYPERLINK("https://klasma.github.io/Logging_0486/tillsynsmail/A 54715-2024 tillsynsbegäran mail.docx", "A 54715-2024")</f>
        <v/>
      </c>
    </row>
    <row r="54" ht="15" customHeight="1">
      <c r="A54" t="inlineStr">
        <is>
          <t>A 61838-2024</t>
        </is>
      </c>
      <c r="B54" s="1" t="n">
        <v>45649</v>
      </c>
      <c r="C54" s="1" t="n">
        <v>45875</v>
      </c>
      <c r="D54" t="inlineStr">
        <is>
          <t>SÖDERMANLANDS LÄN</t>
        </is>
      </c>
      <c r="E54" t="inlineStr">
        <is>
          <t>STRÄNGNÄS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Igelkottsröksvamp</t>
        </is>
      </c>
      <c r="S54">
        <f>HYPERLINK("https://klasma.github.io/Logging_0486/artfynd/A 61838-2024 artfynd.xlsx", "A 61838-2024")</f>
        <v/>
      </c>
      <c r="T54">
        <f>HYPERLINK("https://klasma.github.io/Logging_0486/kartor/A 61838-2024 karta.png", "A 61838-2024")</f>
        <v/>
      </c>
      <c r="V54">
        <f>HYPERLINK("https://klasma.github.io/Logging_0486/klagomål/A 61838-2024 FSC-klagomål.docx", "A 61838-2024")</f>
        <v/>
      </c>
      <c r="W54">
        <f>HYPERLINK("https://klasma.github.io/Logging_0486/klagomålsmail/A 61838-2024 FSC-klagomål mail.docx", "A 61838-2024")</f>
        <v/>
      </c>
      <c r="X54">
        <f>HYPERLINK("https://klasma.github.io/Logging_0486/tillsyn/A 61838-2024 tillsynsbegäran.docx", "A 61838-2024")</f>
        <v/>
      </c>
      <c r="Y54">
        <f>HYPERLINK("https://klasma.github.io/Logging_0486/tillsynsmail/A 61838-2024 tillsynsbegäran mail.docx", "A 61838-2024")</f>
        <v/>
      </c>
    </row>
    <row r="55" ht="15" customHeight="1">
      <c r="A55" t="inlineStr">
        <is>
          <t>A 4047-2025</t>
        </is>
      </c>
      <c r="B55" s="1" t="n">
        <v>45684</v>
      </c>
      <c r="C55" s="1" t="n">
        <v>45875</v>
      </c>
      <c r="D55" t="inlineStr">
        <is>
          <t>SÖDERMANLANDS LÄN</t>
        </is>
      </c>
      <c r="E55" t="inlineStr">
        <is>
          <t>STRÄNGNÄS</t>
        </is>
      </c>
      <c r="G55" t="n">
        <v>8.5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HYPERLINK("https://klasma.github.io/Logging_0486/artfynd/A 4047-2025 artfynd.xlsx", "A 4047-2025")</f>
        <v/>
      </c>
      <c r="T55">
        <f>HYPERLINK("https://klasma.github.io/Logging_0486/kartor/A 4047-2025 karta.png", "A 4047-2025")</f>
        <v/>
      </c>
      <c r="V55">
        <f>HYPERLINK("https://klasma.github.io/Logging_0486/klagomål/A 4047-2025 FSC-klagomål.docx", "A 4047-2025")</f>
        <v/>
      </c>
      <c r="W55">
        <f>HYPERLINK("https://klasma.github.io/Logging_0486/klagomålsmail/A 4047-2025 FSC-klagomål mail.docx", "A 4047-2025")</f>
        <v/>
      </c>
      <c r="X55">
        <f>HYPERLINK("https://klasma.github.io/Logging_0486/tillsyn/A 4047-2025 tillsynsbegäran.docx", "A 4047-2025")</f>
        <v/>
      </c>
      <c r="Y55">
        <f>HYPERLINK("https://klasma.github.io/Logging_0486/tillsynsmail/A 4047-2025 tillsynsbegäran mail.docx", "A 4047-2025")</f>
        <v/>
      </c>
    </row>
    <row r="56" ht="15" customHeight="1">
      <c r="A56" t="inlineStr">
        <is>
          <t>A 32766-2025</t>
        </is>
      </c>
      <c r="B56" s="1" t="n">
        <v>45839</v>
      </c>
      <c r="C56" s="1" t="n">
        <v>45875</v>
      </c>
      <c r="D56" t="inlineStr">
        <is>
          <t>SÖDERMANLANDS LÄN</t>
        </is>
      </c>
      <c r="E56" t="inlineStr">
        <is>
          <t>STRÄNGNÄS</t>
        </is>
      </c>
      <c r="G56" t="n">
        <v>3.5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HYPERLINK("https://klasma.github.io/Logging_040486/artfynd/A 32766-2025 artfynd.xlsx", "A 32766-2025")</f>
        <v/>
      </c>
      <c r="T56">
        <f>HYPERLINK("https://klasma.github.io/Logging_040486/kartor/A 32766-2025 karta.png", "A 32766-2025")</f>
        <v/>
      </c>
      <c r="V56">
        <f>HYPERLINK("https://klasma.github.io/Logging_040486/klagomål/A 32766-2025 FSC-klagomål.docx", "A 32766-2025")</f>
        <v/>
      </c>
      <c r="W56">
        <f>HYPERLINK("https://klasma.github.io/Logging_040486/klagomålsmail/A 32766-2025 FSC-klagomål mail.docx", "A 32766-2025")</f>
        <v/>
      </c>
      <c r="X56">
        <f>HYPERLINK("https://klasma.github.io/Logging_040486/tillsyn/A 32766-2025 tillsynsbegäran.docx", "A 32766-2025")</f>
        <v/>
      </c>
      <c r="Y56">
        <f>HYPERLINK("https://klasma.github.io/Logging_040486/tillsynsmail/A 32766-2025 tillsynsbegäran mail.docx", "A 32766-2025")</f>
        <v/>
      </c>
    </row>
    <row r="57" ht="15" customHeight="1">
      <c r="A57" t="inlineStr">
        <is>
          <t>A 18324-2019</t>
        </is>
      </c>
      <c r="B57" s="1" t="n">
        <v>43557</v>
      </c>
      <c r="C57" s="1" t="n">
        <v>45875</v>
      </c>
      <c r="D57" t="inlineStr">
        <is>
          <t>SÖDERMANLANDS LÄN</t>
        </is>
      </c>
      <c r="E57" t="inlineStr">
        <is>
          <t>STRÄNGNÄS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18328-2019</t>
        </is>
      </c>
      <c r="B58" s="1" t="n">
        <v>43557</v>
      </c>
      <c r="C58" s="1" t="n">
        <v>45875</v>
      </c>
      <c r="D58" t="inlineStr">
        <is>
          <t>SÖDERMANLANDS LÄN</t>
        </is>
      </c>
      <c r="E58" t="inlineStr">
        <is>
          <t>STRÄNGNÄS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18561-2019</t>
        </is>
      </c>
      <c r="B59" s="1" t="n">
        <v>43559</v>
      </c>
      <c r="C59" s="1" t="n">
        <v>45875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Allmännings- och besparingsskogar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18862-2019</t>
        </is>
      </c>
      <c r="B60" s="1" t="n">
        <v>43563</v>
      </c>
      <c r="C60" s="1" t="n">
        <v>45875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19874-2019</t>
        </is>
      </c>
      <c r="B61" s="1" t="n">
        <v>43567</v>
      </c>
      <c r="C61" s="1" t="n">
        <v>45875</v>
      </c>
      <c r="D61" t="inlineStr">
        <is>
          <t>SÖDERMANLANDS LÄN</t>
        </is>
      </c>
      <c r="E61" t="inlineStr">
        <is>
          <t>STRÄNGNÄS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20666-2019</t>
        </is>
      </c>
      <c r="B62" s="1" t="n">
        <v>43572</v>
      </c>
      <c r="C62" s="1" t="n">
        <v>45875</v>
      </c>
      <c r="D62" t="inlineStr">
        <is>
          <t>SÖDERMANLANDS LÄN</t>
        </is>
      </c>
      <c r="E62" t="inlineStr">
        <is>
          <t>STRÄNGNÄS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23265-2019</t>
        </is>
      </c>
      <c r="B63" s="1" t="n">
        <v>43591</v>
      </c>
      <c r="C63" s="1" t="n">
        <v>45875</v>
      </c>
      <c r="D63" t="inlineStr">
        <is>
          <t>SÖDERMANLANDS LÄN</t>
        </is>
      </c>
      <c r="E63" t="inlineStr">
        <is>
          <t>STRÄNGNÄS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23267-2019</t>
        </is>
      </c>
      <c r="B64" s="1" t="n">
        <v>43592</v>
      </c>
      <c r="C64" s="1" t="n">
        <v>45875</v>
      </c>
      <c r="D64" t="inlineStr">
        <is>
          <t>SÖDERMANLANDS LÄN</t>
        </is>
      </c>
      <c r="E64" t="inlineStr">
        <is>
          <t>STRÄNGNÄS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27951-2019</t>
        </is>
      </c>
      <c r="B65" s="1" t="n">
        <v>43612</v>
      </c>
      <c r="C65" s="1" t="n">
        <v>45875</v>
      </c>
      <c r="D65" t="inlineStr">
        <is>
          <t>SÖDERMANLANDS LÄN</t>
        </is>
      </c>
      <c r="E65" t="inlineStr">
        <is>
          <t>STRÄNGNÄS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28982-2019</t>
        </is>
      </c>
      <c r="B66" s="1" t="n">
        <v>43628</v>
      </c>
      <c r="C66" s="1" t="n">
        <v>45875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29125-2019</t>
        </is>
      </c>
      <c r="B67" s="1" t="n">
        <v>43628</v>
      </c>
      <c r="C67" s="1" t="n">
        <v>45875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30669-2019</t>
        </is>
      </c>
      <c r="B68" s="1" t="n">
        <v>43636</v>
      </c>
      <c r="C68" s="1" t="n">
        <v>45875</v>
      </c>
      <c r="D68" t="inlineStr">
        <is>
          <t>SÖDERMANLANDS LÄN</t>
        </is>
      </c>
      <c r="E68" t="inlineStr">
        <is>
          <t>STRÄNGNÄS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30646-2019</t>
        </is>
      </c>
      <c r="B69" s="1" t="n">
        <v>43636</v>
      </c>
      <c r="C69" s="1" t="n">
        <v>45875</v>
      </c>
      <c r="D69" t="inlineStr">
        <is>
          <t>SÖDERMANLANDS LÄN</t>
        </is>
      </c>
      <c r="E69" t="inlineStr">
        <is>
          <t>STRÄNGNÄS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30692-2019</t>
        </is>
      </c>
      <c r="B70" s="1" t="n">
        <v>43636</v>
      </c>
      <c r="C70" s="1" t="n">
        <v>45875</v>
      </c>
      <c r="D70" t="inlineStr">
        <is>
          <t>SÖDERMANLANDS LÄN</t>
        </is>
      </c>
      <c r="E70" t="inlineStr">
        <is>
          <t>STRÄNGNÄS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31388-2019</t>
        </is>
      </c>
      <c r="B71" s="1" t="n">
        <v>43636</v>
      </c>
      <c r="C71" s="1" t="n">
        <v>45875</v>
      </c>
      <c r="D71" t="inlineStr">
        <is>
          <t>SÖDERMANLANDS LÄN</t>
        </is>
      </c>
      <c r="E71" t="inlineStr">
        <is>
          <t>STRÄNGNÄS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32196-2019</t>
        </is>
      </c>
      <c r="B72" s="1" t="n">
        <v>43643</v>
      </c>
      <c r="C72" s="1" t="n">
        <v>45875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34203-2019</t>
        </is>
      </c>
      <c r="B73" s="1" t="n">
        <v>43644</v>
      </c>
      <c r="C73" s="1" t="n">
        <v>45875</v>
      </c>
      <c r="D73" t="inlineStr">
        <is>
          <t>SÖDERMANLANDS LÄN</t>
        </is>
      </c>
      <c r="E73" t="inlineStr">
        <is>
          <t>STRÄNGNÄS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34148-2019</t>
        </is>
      </c>
      <c r="B74" s="1" t="n">
        <v>43644</v>
      </c>
      <c r="C74" s="1" t="n">
        <v>45875</v>
      </c>
      <c r="D74" t="inlineStr">
        <is>
          <t>SÖDERMANLANDS LÄN</t>
        </is>
      </c>
      <c r="E74" t="inlineStr">
        <is>
          <t>STRÄNGNÄS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34199-2019</t>
        </is>
      </c>
      <c r="B75" s="1" t="n">
        <v>43644</v>
      </c>
      <c r="C75" s="1" t="n">
        <v>45875</v>
      </c>
      <c r="D75" t="inlineStr">
        <is>
          <t>SÖDERMANLANDS LÄN</t>
        </is>
      </c>
      <c r="E75" t="inlineStr">
        <is>
          <t>STRÄNGNÄS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32870-2019</t>
        </is>
      </c>
      <c r="B76" s="1" t="n">
        <v>43648</v>
      </c>
      <c r="C76" s="1" t="n">
        <v>45875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33074-2019</t>
        </is>
      </c>
      <c r="B77" s="1" t="n">
        <v>43649</v>
      </c>
      <c r="C77" s="1" t="n">
        <v>45875</v>
      </c>
      <c r="D77" t="inlineStr">
        <is>
          <t>SÖDERMANLANDS LÄN</t>
        </is>
      </c>
      <c r="E77" t="inlineStr">
        <is>
          <t>STRÄNGNÄS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33113-2019</t>
        </is>
      </c>
      <c r="B78" s="1" t="n">
        <v>43649</v>
      </c>
      <c r="C78" s="1" t="n">
        <v>45875</v>
      </c>
      <c r="D78" t="inlineStr">
        <is>
          <t>SÖDERMANLANDS LÄN</t>
        </is>
      </c>
      <c r="E78" t="inlineStr">
        <is>
          <t>STRÄNGNÄS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33000-2019</t>
        </is>
      </c>
      <c r="B79" s="1" t="n">
        <v>43649</v>
      </c>
      <c r="C79" s="1" t="n">
        <v>45875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33488-2019</t>
        </is>
      </c>
      <c r="B80" s="1" t="n">
        <v>43651</v>
      </c>
      <c r="C80" s="1" t="n">
        <v>45875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20.1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33760-2019</t>
        </is>
      </c>
      <c r="B81" s="1" t="n">
        <v>43651</v>
      </c>
      <c r="C81" s="1" t="n">
        <v>45875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33804-2019</t>
        </is>
      </c>
      <c r="B82" s="1" t="n">
        <v>43651</v>
      </c>
      <c r="C82" s="1" t="n">
        <v>45875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36449-2019</t>
        </is>
      </c>
      <c r="B83" s="1" t="n">
        <v>43664</v>
      </c>
      <c r="C83" s="1" t="n">
        <v>45875</v>
      </c>
      <c r="D83" t="inlineStr">
        <is>
          <t>SÖDERMANLANDS LÄN</t>
        </is>
      </c>
      <c r="E83" t="inlineStr">
        <is>
          <t>STRÄNGNÄS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36098-2019</t>
        </is>
      </c>
      <c r="B84" s="1" t="n">
        <v>43668</v>
      </c>
      <c r="C84" s="1" t="n">
        <v>45875</v>
      </c>
      <c r="D84" t="inlineStr">
        <is>
          <t>SÖDERMANLANDS LÄN</t>
        </is>
      </c>
      <c r="E84" t="inlineStr">
        <is>
          <t>STRÄNGNÄS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37562-2019</t>
        </is>
      </c>
      <c r="B85" s="1" t="n">
        <v>43679</v>
      </c>
      <c r="C85" s="1" t="n">
        <v>45875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38409-2019</t>
        </is>
      </c>
      <c r="B86" s="1" t="n">
        <v>43683</v>
      </c>
      <c r="C86" s="1" t="n">
        <v>45875</v>
      </c>
      <c r="D86" t="inlineStr">
        <is>
          <t>SÖDERMANLANDS LÄN</t>
        </is>
      </c>
      <c r="E86" t="inlineStr">
        <is>
          <t>STRÄNGNÄS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39328-2019</t>
        </is>
      </c>
      <c r="B87" s="1" t="n">
        <v>43690</v>
      </c>
      <c r="C87" s="1" t="n">
        <v>45875</v>
      </c>
      <c r="D87" t="inlineStr">
        <is>
          <t>SÖDERMANLANDS LÄN</t>
        </is>
      </c>
      <c r="E87" t="inlineStr">
        <is>
          <t>STRÄNGNÄS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39334-2019</t>
        </is>
      </c>
      <c r="B88" s="1" t="n">
        <v>43690</v>
      </c>
      <c r="C88" s="1" t="n">
        <v>45875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39691-2019</t>
        </is>
      </c>
      <c r="B89" s="1" t="n">
        <v>43691</v>
      </c>
      <c r="C89" s="1" t="n">
        <v>45875</v>
      </c>
      <c r="D89" t="inlineStr">
        <is>
          <t>SÖDERMANLANDS LÄN</t>
        </is>
      </c>
      <c r="E89" t="inlineStr">
        <is>
          <t>STRÄNGNÄS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39731-2019</t>
        </is>
      </c>
      <c r="B90" s="1" t="n">
        <v>43691</v>
      </c>
      <c r="C90" s="1" t="n">
        <v>45875</v>
      </c>
      <c r="D90" t="inlineStr">
        <is>
          <t>SÖDERMANLANDS LÄN</t>
        </is>
      </c>
      <c r="E90" t="inlineStr">
        <is>
          <t>STRÄNGNÄS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41718-2019</t>
        </is>
      </c>
      <c r="B91" s="1" t="n">
        <v>43699</v>
      </c>
      <c r="C91" s="1" t="n">
        <v>45875</v>
      </c>
      <c r="D91" t="inlineStr">
        <is>
          <t>SÖDERMANLANDS LÄN</t>
        </is>
      </c>
      <c r="E91" t="inlineStr">
        <is>
          <t>STRÄNGNÄS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41975-2019</t>
        </is>
      </c>
      <c r="B92" s="1" t="n">
        <v>43700</v>
      </c>
      <c r="C92" s="1" t="n">
        <v>45875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43571-2019</t>
        </is>
      </c>
      <c r="B93" s="1" t="n">
        <v>43706</v>
      </c>
      <c r="C93" s="1" t="n">
        <v>45875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47825-2019</t>
        </is>
      </c>
      <c r="B94" s="1" t="n">
        <v>43725</v>
      </c>
      <c r="C94" s="1" t="n">
        <v>45875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48792-2019</t>
        </is>
      </c>
      <c r="B95" s="1" t="n">
        <v>43727</v>
      </c>
      <c r="C95" s="1" t="n">
        <v>45875</v>
      </c>
      <c r="D95" t="inlineStr">
        <is>
          <t>SÖDERMANLANDS LÄN</t>
        </is>
      </c>
      <c r="E95" t="inlineStr">
        <is>
          <t>STRÄNGNÄS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50176-2019</t>
        </is>
      </c>
      <c r="B96" s="1" t="n">
        <v>43734</v>
      </c>
      <c r="C96" s="1" t="n">
        <v>45875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50205-2019</t>
        </is>
      </c>
      <c r="B97" s="1" t="n">
        <v>43734</v>
      </c>
      <c r="C97" s="1" t="n">
        <v>45875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51468-2019</t>
        </is>
      </c>
      <c r="B98" s="1" t="n">
        <v>43740</v>
      </c>
      <c r="C98" s="1" t="n">
        <v>45875</v>
      </c>
      <c r="D98" t="inlineStr">
        <is>
          <t>SÖDERMANLANDS LÄN</t>
        </is>
      </c>
      <c r="E98" t="inlineStr">
        <is>
          <t>STRÄNGNÄS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54024-2019</t>
        </is>
      </c>
      <c r="B99" s="1" t="n">
        <v>43742</v>
      </c>
      <c r="C99" s="1" t="n">
        <v>45875</v>
      </c>
      <c r="D99" t="inlineStr">
        <is>
          <t>SÖDERMANLANDS LÄN</t>
        </is>
      </c>
      <c r="E99" t="inlineStr">
        <is>
          <t>STRÄNGNÄS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54017-2019</t>
        </is>
      </c>
      <c r="B100" s="1" t="n">
        <v>43742</v>
      </c>
      <c r="C100" s="1" t="n">
        <v>45875</v>
      </c>
      <c r="D100" t="inlineStr">
        <is>
          <t>SÖDERMANLANDS LÄN</t>
        </is>
      </c>
      <c r="E100" t="inlineStr">
        <is>
          <t>STRÄNGNÄS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54028-2019</t>
        </is>
      </c>
      <c r="B101" s="1" t="n">
        <v>43742</v>
      </c>
      <c r="C101" s="1" t="n">
        <v>45875</v>
      </c>
      <c r="D101" t="inlineStr">
        <is>
          <t>SÖDERMANLANDS LÄN</t>
        </is>
      </c>
      <c r="E101" t="inlineStr">
        <is>
          <t>STRÄNGNÄS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59220-2019</t>
        </is>
      </c>
      <c r="B102" s="1" t="n">
        <v>43775</v>
      </c>
      <c r="C102" s="1" t="n">
        <v>45875</v>
      </c>
      <c r="D102" t="inlineStr">
        <is>
          <t>SÖDERMANLANDS LÄN</t>
        </is>
      </c>
      <c r="E102" t="inlineStr">
        <is>
          <t>STRÄNGNÄS</t>
        </is>
      </c>
      <c r="G102" t="n">
        <v>15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60466-2019</t>
        </is>
      </c>
      <c r="B103" s="1" t="n">
        <v>43780</v>
      </c>
      <c r="C103" s="1" t="n">
        <v>45875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61402-2019</t>
        </is>
      </c>
      <c r="B104" s="1" t="n">
        <v>43783</v>
      </c>
      <c r="C104" s="1" t="n">
        <v>45875</v>
      </c>
      <c r="D104" t="inlineStr">
        <is>
          <t>SÖDERMANLANDS LÄN</t>
        </is>
      </c>
      <c r="E104" t="inlineStr">
        <is>
          <t>STRÄNGNÄS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61432-2019</t>
        </is>
      </c>
      <c r="B105" s="1" t="n">
        <v>43783</v>
      </c>
      <c r="C105" s="1" t="n">
        <v>45875</v>
      </c>
      <c r="D105" t="inlineStr">
        <is>
          <t>SÖDERMANLANDS LÄN</t>
        </is>
      </c>
      <c r="E105" t="inlineStr">
        <is>
          <t>STRÄNGNÄS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62161-2019</t>
        </is>
      </c>
      <c r="B106" s="1" t="n">
        <v>43787</v>
      </c>
      <c r="C106" s="1" t="n">
        <v>45875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62566-2019</t>
        </is>
      </c>
      <c r="B107" s="1" t="n">
        <v>43789</v>
      </c>
      <c r="C107" s="1" t="n">
        <v>45875</v>
      </c>
      <c r="D107" t="inlineStr">
        <is>
          <t>SÖDERMANLANDS LÄN</t>
        </is>
      </c>
      <c r="E107" t="inlineStr">
        <is>
          <t>STRÄNGNÄS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62874-2019</t>
        </is>
      </c>
      <c r="B108" s="1" t="n">
        <v>43790</v>
      </c>
      <c r="C108" s="1" t="n">
        <v>45875</v>
      </c>
      <c r="D108" t="inlineStr">
        <is>
          <t>SÖDERMANLANDS LÄN</t>
        </is>
      </c>
      <c r="E108" t="inlineStr">
        <is>
          <t>STRÄNGNÄS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63058-2019</t>
        </is>
      </c>
      <c r="B109" s="1" t="n">
        <v>43791</v>
      </c>
      <c r="C109" s="1" t="n">
        <v>45875</v>
      </c>
      <c r="D109" t="inlineStr">
        <is>
          <t>SÖDERMANLANDS LÄN</t>
        </is>
      </c>
      <c r="E109" t="inlineStr">
        <is>
          <t>STRÄNGNÄS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64167-2019</t>
        </is>
      </c>
      <c r="B110" s="1" t="n">
        <v>43797</v>
      </c>
      <c r="C110" s="1" t="n">
        <v>45875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64795-2019</t>
        </is>
      </c>
      <c r="B111" s="1" t="n">
        <v>43801</v>
      </c>
      <c r="C111" s="1" t="n">
        <v>45875</v>
      </c>
      <c r="D111" t="inlineStr">
        <is>
          <t>SÖDERMANLANDS LÄN</t>
        </is>
      </c>
      <c r="E111" t="inlineStr">
        <is>
          <t>STRÄNGNÄS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67661-2019</t>
        </is>
      </c>
      <c r="B112" s="1" t="n">
        <v>43809</v>
      </c>
      <c r="C112" s="1" t="n">
        <v>45875</v>
      </c>
      <c r="D112" t="inlineStr">
        <is>
          <t>SÖDERMANLANDS LÄN</t>
        </is>
      </c>
      <c r="E112" t="inlineStr">
        <is>
          <t>STRÄNGNÄS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67401-2019</t>
        </is>
      </c>
      <c r="B113" s="1" t="n">
        <v>43812</v>
      </c>
      <c r="C113" s="1" t="n">
        <v>45875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883-2020</t>
        </is>
      </c>
      <c r="B114" s="1" t="n">
        <v>43839</v>
      </c>
      <c r="C114" s="1" t="n">
        <v>45875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statliga verk och myndigheter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2385-2020</t>
        </is>
      </c>
      <c r="B115" s="1" t="n">
        <v>43847</v>
      </c>
      <c r="C115" s="1" t="n">
        <v>45875</v>
      </c>
      <c r="D115" t="inlineStr">
        <is>
          <t>SÖDERMANLANDS LÄN</t>
        </is>
      </c>
      <c r="E115" t="inlineStr">
        <is>
          <t>STRÄNGNÄS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2526-2020</t>
        </is>
      </c>
      <c r="B116" s="1" t="n">
        <v>43847</v>
      </c>
      <c r="C116" s="1" t="n">
        <v>45875</v>
      </c>
      <c r="D116" t="inlineStr">
        <is>
          <t>SÖDERMANLANDS LÄN</t>
        </is>
      </c>
      <c r="E116" t="inlineStr">
        <is>
          <t>STRÄNGNÄS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4139-2020</t>
        </is>
      </c>
      <c r="B117" s="1" t="n">
        <v>43857</v>
      </c>
      <c r="C117" s="1" t="n">
        <v>45875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5429-2020</t>
        </is>
      </c>
      <c r="B118" s="1" t="n">
        <v>43858</v>
      </c>
      <c r="C118" s="1" t="n">
        <v>45875</v>
      </c>
      <c r="D118" t="inlineStr">
        <is>
          <t>SÖDERMANLANDS LÄN</t>
        </is>
      </c>
      <c r="E118" t="inlineStr">
        <is>
          <t>STRÄNGNÄS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5438-2020</t>
        </is>
      </c>
      <c r="B119" s="1" t="n">
        <v>43859</v>
      </c>
      <c r="C119" s="1" t="n">
        <v>45875</v>
      </c>
      <c r="D119" t="inlineStr">
        <is>
          <t>SÖDERMANLANDS LÄN</t>
        </is>
      </c>
      <c r="E119" t="inlineStr">
        <is>
          <t>STRÄNGNÄS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5646-2020</t>
        </is>
      </c>
      <c r="B120" s="1" t="n">
        <v>43860</v>
      </c>
      <c r="C120" s="1" t="n">
        <v>45875</v>
      </c>
      <c r="D120" t="inlineStr">
        <is>
          <t>SÖDERMANLANDS LÄN</t>
        </is>
      </c>
      <c r="E120" t="inlineStr">
        <is>
          <t>STRÄNGNÄS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5643-2020</t>
        </is>
      </c>
      <c r="B121" s="1" t="n">
        <v>43860</v>
      </c>
      <c r="C121" s="1" t="n">
        <v>45875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6171-2020</t>
        </is>
      </c>
      <c r="B122" s="1" t="n">
        <v>43865</v>
      </c>
      <c r="C122" s="1" t="n">
        <v>45875</v>
      </c>
      <c r="D122" t="inlineStr">
        <is>
          <t>SÖDERMANLANDS LÄN</t>
        </is>
      </c>
      <c r="E122" t="inlineStr">
        <is>
          <t>STRÄNGNÄS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9418-2020</t>
        </is>
      </c>
      <c r="B123" s="1" t="n">
        <v>43880</v>
      </c>
      <c r="C123" s="1" t="n">
        <v>45875</v>
      </c>
      <c r="D123" t="inlineStr">
        <is>
          <t>SÖDERMANLANDS LÄN</t>
        </is>
      </c>
      <c r="E123" t="inlineStr">
        <is>
          <t>STRÄNGNÄS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9909-2020</t>
        </is>
      </c>
      <c r="B124" s="1" t="n">
        <v>43881</v>
      </c>
      <c r="C124" s="1" t="n">
        <v>45875</v>
      </c>
      <c r="D124" t="inlineStr">
        <is>
          <t>SÖDERMANLANDS LÄN</t>
        </is>
      </c>
      <c r="E124" t="inlineStr">
        <is>
          <t>STRÄNGNÄS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9978-2020</t>
        </is>
      </c>
      <c r="B125" s="1" t="n">
        <v>43882</v>
      </c>
      <c r="C125" s="1" t="n">
        <v>45875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Aktiebolag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9985-2020</t>
        </is>
      </c>
      <c r="B126" s="1" t="n">
        <v>43882</v>
      </c>
      <c r="C126" s="1" t="n">
        <v>45875</v>
      </c>
      <c r="D126" t="inlineStr">
        <is>
          <t>SÖDERMANLANDS LÄN</t>
        </is>
      </c>
      <c r="E126" t="inlineStr">
        <is>
          <t>STRÄNGNÄS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10348-2020</t>
        </is>
      </c>
      <c r="B127" s="1" t="n">
        <v>43885</v>
      </c>
      <c r="C127" s="1" t="n">
        <v>45875</v>
      </c>
      <c r="D127" t="inlineStr">
        <is>
          <t>SÖDERMANLANDS LÄN</t>
        </is>
      </c>
      <c r="E127" t="inlineStr">
        <is>
          <t>STRÄNGNÄS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12129-2020</t>
        </is>
      </c>
      <c r="B128" s="1" t="n">
        <v>43895</v>
      </c>
      <c r="C128" s="1" t="n">
        <v>45875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12123-2020</t>
        </is>
      </c>
      <c r="B129" s="1" t="n">
        <v>43895</v>
      </c>
      <c r="C129" s="1" t="n">
        <v>45875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12115-2020</t>
        </is>
      </c>
      <c r="B130" s="1" t="n">
        <v>43895</v>
      </c>
      <c r="C130" s="1" t="n">
        <v>45875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Sveaskog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12494-2020</t>
        </is>
      </c>
      <c r="B131" s="1" t="n">
        <v>43896</v>
      </c>
      <c r="C131" s="1" t="n">
        <v>45875</v>
      </c>
      <c r="D131" t="inlineStr">
        <is>
          <t>SÖDERMANLANDS LÄN</t>
        </is>
      </c>
      <c r="E131" t="inlineStr">
        <is>
          <t>STRÄNGNÄS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14363-2020</t>
        </is>
      </c>
      <c r="B132" s="1" t="n">
        <v>43902</v>
      </c>
      <c r="C132" s="1" t="n">
        <v>45875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15532-2020</t>
        </is>
      </c>
      <c r="B133" s="1" t="n">
        <v>43914</v>
      </c>
      <c r="C133" s="1" t="n">
        <v>45875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16698-2020</t>
        </is>
      </c>
      <c r="B134" s="1" t="n">
        <v>43920</v>
      </c>
      <c r="C134" s="1" t="n">
        <v>45875</v>
      </c>
      <c r="D134" t="inlineStr">
        <is>
          <t>SÖDERMANLANDS LÄN</t>
        </is>
      </c>
      <c r="E134" t="inlineStr">
        <is>
          <t>STRÄNGNÄS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16692-2020</t>
        </is>
      </c>
      <c r="B135" s="1" t="n">
        <v>43920</v>
      </c>
      <c r="C135" s="1" t="n">
        <v>45875</v>
      </c>
      <c r="D135" t="inlineStr">
        <is>
          <t>SÖDERMANLANDS LÄN</t>
        </is>
      </c>
      <c r="E135" t="inlineStr">
        <is>
          <t>STRÄNGNÄS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17123-2020</t>
        </is>
      </c>
      <c r="B136" s="1" t="n">
        <v>43922</v>
      </c>
      <c r="C136" s="1" t="n">
        <v>45875</v>
      </c>
      <c r="D136" t="inlineStr">
        <is>
          <t>SÖDERMANLANDS LÄN</t>
        </is>
      </c>
      <c r="E136" t="inlineStr">
        <is>
          <t>STRÄNGNÄS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18813-2020</t>
        </is>
      </c>
      <c r="B137" s="1" t="n">
        <v>43934</v>
      </c>
      <c r="C137" s="1" t="n">
        <v>45875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19274-2020</t>
        </is>
      </c>
      <c r="B138" s="1" t="n">
        <v>43937</v>
      </c>
      <c r="C138" s="1" t="n">
        <v>45875</v>
      </c>
      <c r="D138" t="inlineStr">
        <is>
          <t>SÖDERMANLANDS LÄN</t>
        </is>
      </c>
      <c r="E138" t="inlineStr">
        <is>
          <t>STRÄNGNÄS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20044-2020</t>
        </is>
      </c>
      <c r="B139" s="1" t="n">
        <v>43943</v>
      </c>
      <c r="C139" s="1" t="n">
        <v>45875</v>
      </c>
      <c r="D139" t="inlineStr">
        <is>
          <t>SÖDERMANLANDS LÄN</t>
        </is>
      </c>
      <c r="E139" t="inlineStr">
        <is>
          <t>STRÄNGNÄS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20644-2020</t>
        </is>
      </c>
      <c r="B140" s="1" t="n">
        <v>43949</v>
      </c>
      <c r="C140" s="1" t="n">
        <v>45875</v>
      </c>
      <c r="D140" t="inlineStr">
        <is>
          <t>SÖDERMANLANDS LÄN</t>
        </is>
      </c>
      <c r="E140" t="inlineStr">
        <is>
          <t>STRÄNGNÄS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22087-2020</t>
        </is>
      </c>
      <c r="B141" s="1" t="n">
        <v>43959</v>
      </c>
      <c r="C141" s="1" t="n">
        <v>45875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24678-2020</t>
        </is>
      </c>
      <c r="B142" s="1" t="n">
        <v>43977</v>
      </c>
      <c r="C142" s="1" t="n">
        <v>45875</v>
      </c>
      <c r="D142" t="inlineStr">
        <is>
          <t>SÖDERMANLANDS LÄN</t>
        </is>
      </c>
      <c r="E142" t="inlineStr">
        <is>
          <t>STRÄNGNÄS</t>
        </is>
      </c>
      <c r="G142" t="n">
        <v>19.9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30052-2020</t>
        </is>
      </c>
      <c r="B143" s="1" t="n">
        <v>44006</v>
      </c>
      <c r="C143" s="1" t="n">
        <v>45875</v>
      </c>
      <c r="D143" t="inlineStr">
        <is>
          <t>SÖDERMANLANDS LÄN</t>
        </is>
      </c>
      <c r="E143" t="inlineStr">
        <is>
          <t>STRÄNGNÄS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31627-2020</t>
        </is>
      </c>
      <c r="B144" s="1" t="n">
        <v>44013</v>
      </c>
      <c r="C144" s="1" t="n">
        <v>45875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Allmännings- och besparingsskogar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32220-2020</t>
        </is>
      </c>
      <c r="B145" s="1" t="n">
        <v>44015</v>
      </c>
      <c r="C145" s="1" t="n">
        <v>45875</v>
      </c>
      <c r="D145" t="inlineStr">
        <is>
          <t>SÖDERMANLANDS LÄN</t>
        </is>
      </c>
      <c r="E145" t="inlineStr">
        <is>
          <t>STRÄNGNÄS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33488-2020</t>
        </is>
      </c>
      <c r="B146" s="1" t="n">
        <v>44024</v>
      </c>
      <c r="C146" s="1" t="n">
        <v>45875</v>
      </c>
      <c r="D146" t="inlineStr">
        <is>
          <t>SÖDERMANLANDS LÄN</t>
        </is>
      </c>
      <c r="E146" t="inlineStr">
        <is>
          <t>STRÄNGNÄS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33510-2020</t>
        </is>
      </c>
      <c r="B147" s="1" t="n">
        <v>44025</v>
      </c>
      <c r="C147" s="1" t="n">
        <v>45875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33743-2020</t>
        </is>
      </c>
      <c r="B148" s="1" t="n">
        <v>44026</v>
      </c>
      <c r="C148" s="1" t="n">
        <v>45875</v>
      </c>
      <c r="D148" t="inlineStr">
        <is>
          <t>SÖDERMANLANDS LÄN</t>
        </is>
      </c>
      <c r="E148" t="inlineStr">
        <is>
          <t>STRÄNGNÄS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33738-2020</t>
        </is>
      </c>
      <c r="B149" s="1" t="n">
        <v>44026</v>
      </c>
      <c r="C149" s="1" t="n">
        <v>45875</v>
      </c>
      <c r="D149" t="inlineStr">
        <is>
          <t>SÖDERMANLANDS LÄN</t>
        </is>
      </c>
      <c r="E149" t="inlineStr">
        <is>
          <t>STRÄNGNÄS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35186-2020</t>
        </is>
      </c>
      <c r="B150" s="1" t="n">
        <v>44040</v>
      </c>
      <c r="C150" s="1" t="n">
        <v>45875</v>
      </c>
      <c r="D150" t="inlineStr">
        <is>
          <t>SÖDERMANLANDS LÄN</t>
        </is>
      </c>
      <c r="E150" t="inlineStr">
        <is>
          <t>STRÄNGNÄS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35383-2020</t>
        </is>
      </c>
      <c r="B151" s="1" t="n">
        <v>44042</v>
      </c>
      <c r="C151" s="1" t="n">
        <v>45875</v>
      </c>
      <c r="D151" t="inlineStr">
        <is>
          <t>SÖDERMANLANDS LÄN</t>
        </is>
      </c>
      <c r="E151" t="inlineStr">
        <is>
          <t>STRÄNGNÄS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35788-2020</t>
        </is>
      </c>
      <c r="B152" s="1" t="n">
        <v>44046</v>
      </c>
      <c r="C152" s="1" t="n">
        <v>45875</v>
      </c>
      <c r="D152" t="inlineStr">
        <is>
          <t>SÖDERMANLANDS LÄN</t>
        </is>
      </c>
      <c r="E152" t="inlineStr">
        <is>
          <t>STRÄNGNÄS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36998-2020</t>
        </is>
      </c>
      <c r="B153" s="1" t="n">
        <v>44054</v>
      </c>
      <c r="C153" s="1" t="n">
        <v>45875</v>
      </c>
      <c r="D153" t="inlineStr">
        <is>
          <t>SÖDERMANLANDS LÄN</t>
        </is>
      </c>
      <c r="E153" t="inlineStr">
        <is>
          <t>STRÄNGNÄS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37435-2020</t>
        </is>
      </c>
      <c r="B154" s="1" t="n">
        <v>44055</v>
      </c>
      <c r="C154" s="1" t="n">
        <v>45875</v>
      </c>
      <c r="D154" t="inlineStr">
        <is>
          <t>SÖDERMANLANDS LÄN</t>
        </is>
      </c>
      <c r="E154" t="inlineStr">
        <is>
          <t>STRÄNGNÄS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37438-2020</t>
        </is>
      </c>
      <c r="B155" s="1" t="n">
        <v>44055</v>
      </c>
      <c r="C155" s="1" t="n">
        <v>45875</v>
      </c>
      <c r="D155" t="inlineStr">
        <is>
          <t>SÖDERMANLANDS LÄN</t>
        </is>
      </c>
      <c r="E155" t="inlineStr">
        <is>
          <t>STRÄNGNÄS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40428-2020</t>
        </is>
      </c>
      <c r="B156" s="1" t="n">
        <v>44069</v>
      </c>
      <c r="C156" s="1" t="n">
        <v>45875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40722-2020</t>
        </is>
      </c>
      <c r="B157" s="1" t="n">
        <v>44069</v>
      </c>
      <c r="C157" s="1" t="n">
        <v>45875</v>
      </c>
      <c r="D157" t="inlineStr">
        <is>
          <t>SÖDERMANLANDS LÄN</t>
        </is>
      </c>
      <c r="E157" t="inlineStr">
        <is>
          <t>STRÄNGNÄS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41140-2020</t>
        </is>
      </c>
      <c r="B158" s="1" t="n">
        <v>44069</v>
      </c>
      <c r="C158" s="1" t="n">
        <v>45875</v>
      </c>
      <c r="D158" t="inlineStr">
        <is>
          <t>SÖDERMANLANDS LÄN</t>
        </is>
      </c>
      <c r="E158" t="inlineStr">
        <is>
          <t>STRÄNGNÄS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41318-2020</t>
        </is>
      </c>
      <c r="B159" s="1" t="n">
        <v>44071</v>
      </c>
      <c r="C159" s="1" t="n">
        <v>45875</v>
      </c>
      <c r="D159" t="inlineStr">
        <is>
          <t>SÖDERMANLANDS LÄN</t>
        </is>
      </c>
      <c r="E159" t="inlineStr">
        <is>
          <t>STRÄNGNÄS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45875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45875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45875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45875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45875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45875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45875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45875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45875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45875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45875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45875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45875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45875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45875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45875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45875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45875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45875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45875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45875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45875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45875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45875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45875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45875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45875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45875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45875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45875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45875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45875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45875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45875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45875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45875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45875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45875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45875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45875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45875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45875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45875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45875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45875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45875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45875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45875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45875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45875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45875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45875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45875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45875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45875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45875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45875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45875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45875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45875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45875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45875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45875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45875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45875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45875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45875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45875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45875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45875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45875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45875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45875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45875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45875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45875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45875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45875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45875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45875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45875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45875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45875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45875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45875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45875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45875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45875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45875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45875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45875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45875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45875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45875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45875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45875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45875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45875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45875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45875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45875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45875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45875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45875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45875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45875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45875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45875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45875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45875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45875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45875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45875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45875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45875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45875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45875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45875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45875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45875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45875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45875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45875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45875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45875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45875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45875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45875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45875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45875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45875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45875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45875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45875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45875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45875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45875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45875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45875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45875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45875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45875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45875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45875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45875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45875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45875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45875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45875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45875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45875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45875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45875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45875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45875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45875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45875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45875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45875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45875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45875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45875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45875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45875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45875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45875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45875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45875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45875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45875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45875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45875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45875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45875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45875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45875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45875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45875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45875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45875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45875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45875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45875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45875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45875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45875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45875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45875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45875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45875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45875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45875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45875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45875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45875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45875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45875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45875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45875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45875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45875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45875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45875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45875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45875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45875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45875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45875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45875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45875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45875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45875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45875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45875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45875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45875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45875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45875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45875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45875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45875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45875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45875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45875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45875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45875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45875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45875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45875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45875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45875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45875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45875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45875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45875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45875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45875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45875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45875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45875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45875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45875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45875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45875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45875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45875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45875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45875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45875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45875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45875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45875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45875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45875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45875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45875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45875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45875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45875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45875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45875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45875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45875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45875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45875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45875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45875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45875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45875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45875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45875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45875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45875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45875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45875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45875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45875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45875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45875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45875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45875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45875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45875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45875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45875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45875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45875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45875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45875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45875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45875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45875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45875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45875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45875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45875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45875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45875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45875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45875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45875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45875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45875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45875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45875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45875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45875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45875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45875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45875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45875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45875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45875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45875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45875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45875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45875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45875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45875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45875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45875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45875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45875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45875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45875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45875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45875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45875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45875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45875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45875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45875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45875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45875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45875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45875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45875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45875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45875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45875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45875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45875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45875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45875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45875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45875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45875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45875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45875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45875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45875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45875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45875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45875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45875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45875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45875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45875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45875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45875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45875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45875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45875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45875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45875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45875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45875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45875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45875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45875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45875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45875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45875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45875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45875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45875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45875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45875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45875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45875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45875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45875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45875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45875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45875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45875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45875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45875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45875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45875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45875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45875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45875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45875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45875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45875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45875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45875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45875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45875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45875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45875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45875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45875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45875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45875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45875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45875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45875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45875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45875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45875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45875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45875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45875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45875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45875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45875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45875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45875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45875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45875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45875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45875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45875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45875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45875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45875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45875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45875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45875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45875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45875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45875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45875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45875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45875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45875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45875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45875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45875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45875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45875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45875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45875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45875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45875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45875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45875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45875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45875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45875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45875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45875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45875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45875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45875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45875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45875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45875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45875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45875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45875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45875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45875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45875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45875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45875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45875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45875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45875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45875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45875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45875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45875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45875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45875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45875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45875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45875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45875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45875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45875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45875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45875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45875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45875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45875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45875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45875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45875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45875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28107-2025</t>
        </is>
      </c>
      <c r="B652" s="1" t="n">
        <v>45817</v>
      </c>
      <c r="C652" s="1" t="n">
        <v>45875</v>
      </c>
      <c r="D652" t="inlineStr">
        <is>
          <t>SÖDERMANLANDS LÄN</t>
        </is>
      </c>
      <c r="E652" t="inlineStr">
        <is>
          <t>STRÄNGNÄS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45875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28300-2025</t>
        </is>
      </c>
      <c r="B654" s="1" t="n">
        <v>45817</v>
      </c>
      <c r="C654" s="1" t="n">
        <v>45875</v>
      </c>
      <c r="D654" t="inlineStr">
        <is>
          <t>SÖDERMANLANDS LÄN</t>
        </is>
      </c>
      <c r="E654" t="inlineStr">
        <is>
          <t>STRÄNGNÄS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28259-2025</t>
        </is>
      </c>
      <c r="B655" s="1" t="n">
        <v>45817</v>
      </c>
      <c r="C655" s="1" t="n">
        <v>45875</v>
      </c>
      <c r="D655" t="inlineStr">
        <is>
          <t>SÖDERMANLANDS LÄN</t>
        </is>
      </c>
      <c r="E655" t="inlineStr">
        <is>
          <t>STRÄNGNÄS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28046-2025</t>
        </is>
      </c>
      <c r="B656" s="1" t="n">
        <v>45817</v>
      </c>
      <c r="C656" s="1" t="n">
        <v>45875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28253-2025</t>
        </is>
      </c>
      <c r="B657" s="1" t="n">
        <v>45817</v>
      </c>
      <c r="C657" s="1" t="n">
        <v>45875</v>
      </c>
      <c r="D657" t="inlineStr">
        <is>
          <t>SÖDERMANLANDS LÄN</t>
        </is>
      </c>
      <c r="E657" t="inlineStr">
        <is>
          <t>STRÄNGNÄS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28273-2025</t>
        </is>
      </c>
      <c r="B658" s="1" t="n">
        <v>45817</v>
      </c>
      <c r="C658" s="1" t="n">
        <v>45875</v>
      </c>
      <c r="D658" t="inlineStr">
        <is>
          <t>SÖDERMANLANDS LÄN</t>
        </is>
      </c>
      <c r="E658" t="inlineStr">
        <is>
          <t>STRÄNGNÄS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28291-2025</t>
        </is>
      </c>
      <c r="B659" s="1" t="n">
        <v>45817</v>
      </c>
      <c r="C659" s="1" t="n">
        <v>45875</v>
      </c>
      <c r="D659" t="inlineStr">
        <is>
          <t>SÖDERMANLANDS LÄN</t>
        </is>
      </c>
      <c r="E659" t="inlineStr">
        <is>
          <t>STRÄNGNÄS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28310-2025</t>
        </is>
      </c>
      <c r="B660" s="1" t="n">
        <v>45817</v>
      </c>
      <c r="C660" s="1" t="n">
        <v>45875</v>
      </c>
      <c r="D660" t="inlineStr">
        <is>
          <t>SÖDERMANLANDS LÄN</t>
        </is>
      </c>
      <c r="E660" t="inlineStr">
        <is>
          <t>STRÄNGNÄS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28064-2025</t>
        </is>
      </c>
      <c r="B661" s="1" t="n">
        <v>45817</v>
      </c>
      <c r="C661" s="1" t="n">
        <v>45875</v>
      </c>
      <c r="D661" t="inlineStr">
        <is>
          <t>SÖDERMANLANDS LÄN</t>
        </is>
      </c>
      <c r="E661" t="inlineStr">
        <is>
          <t>STRÄNGNÄS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28075-2025</t>
        </is>
      </c>
      <c r="B662" s="1" t="n">
        <v>45817</v>
      </c>
      <c r="C662" s="1" t="n">
        <v>45875</v>
      </c>
      <c r="D662" t="inlineStr">
        <is>
          <t>SÖDERMANLANDS LÄN</t>
        </is>
      </c>
      <c r="E662" t="inlineStr">
        <is>
          <t>STRÄNGNÄS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28078-2025</t>
        </is>
      </c>
      <c r="B663" s="1" t="n">
        <v>45817</v>
      </c>
      <c r="C663" s="1" t="n">
        <v>45875</v>
      </c>
      <c r="D663" t="inlineStr">
        <is>
          <t>SÖDERMANLANDS LÄN</t>
        </is>
      </c>
      <c r="E663" t="inlineStr">
        <is>
          <t>STRÄNGNÄS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28105-2025</t>
        </is>
      </c>
      <c r="B664" s="1" t="n">
        <v>45817</v>
      </c>
      <c r="C664" s="1" t="n">
        <v>45875</v>
      </c>
      <c r="D664" t="inlineStr">
        <is>
          <t>SÖDERMANLANDS LÄN</t>
        </is>
      </c>
      <c r="E664" t="inlineStr">
        <is>
          <t>STRÄNGNÄS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28298-2025</t>
        </is>
      </c>
      <c r="B665" s="1" t="n">
        <v>45817</v>
      </c>
      <c r="C665" s="1" t="n">
        <v>45875</v>
      </c>
      <c r="D665" t="inlineStr">
        <is>
          <t>SÖDERMANLANDS LÄN</t>
        </is>
      </c>
      <c r="E665" t="inlineStr">
        <is>
          <t>STRÄNGNÄS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28106-2025</t>
        </is>
      </c>
      <c r="B666" s="1" t="n">
        <v>45817</v>
      </c>
      <c r="C666" s="1" t="n">
        <v>45875</v>
      </c>
      <c r="D666" t="inlineStr">
        <is>
          <t>SÖDERMANLANDS LÄN</t>
        </is>
      </c>
      <c r="E666" t="inlineStr">
        <is>
          <t>STRÄNGNÄS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28305-2025</t>
        </is>
      </c>
      <c r="B667" s="1" t="n">
        <v>45817</v>
      </c>
      <c r="C667" s="1" t="n">
        <v>45875</v>
      </c>
      <c r="D667" t="inlineStr">
        <is>
          <t>SÖDERMANLANDS LÄN</t>
        </is>
      </c>
      <c r="E667" t="inlineStr">
        <is>
          <t>STRÄNGNÄS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30622-2025</t>
        </is>
      </c>
      <c r="B668" s="1" t="n">
        <v>45831</v>
      </c>
      <c r="C668" s="1" t="n">
        <v>45875</v>
      </c>
      <c r="D668" t="inlineStr">
        <is>
          <t>SÖDERMANLANDS LÄN</t>
        </is>
      </c>
      <c r="E668" t="inlineStr">
        <is>
          <t>STRÄNGNÄS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30636-2025</t>
        </is>
      </c>
      <c r="B669" s="1" t="n">
        <v>45831</v>
      </c>
      <c r="C669" s="1" t="n">
        <v>45875</v>
      </c>
      <c r="D669" t="inlineStr">
        <is>
          <t>SÖDERMANLANDS LÄN</t>
        </is>
      </c>
      <c r="E669" t="inlineStr">
        <is>
          <t>STRÄNGNÄS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45875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45875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45875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32761-2025</t>
        </is>
      </c>
      <c r="B673" s="1" t="n">
        <v>45839</v>
      </c>
      <c r="C673" s="1" t="n">
        <v>45875</v>
      </c>
      <c r="D673" t="inlineStr">
        <is>
          <t>SÖDERMANLANDS LÄN</t>
        </is>
      </c>
      <c r="E673" t="inlineStr">
        <is>
          <t>STRÄNGNÄS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32763-2025</t>
        </is>
      </c>
      <c r="B674" s="1" t="n">
        <v>45839</v>
      </c>
      <c r="C674" s="1" t="n">
        <v>45875</v>
      </c>
      <c r="D674" t="inlineStr">
        <is>
          <t>SÖDERMANLANDS LÄN</t>
        </is>
      </c>
      <c r="E674" t="inlineStr">
        <is>
          <t>STRÄNGNÄS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32755-2025</t>
        </is>
      </c>
      <c r="B675" s="1" t="n">
        <v>45839</v>
      </c>
      <c r="C675" s="1" t="n">
        <v>45875</v>
      </c>
      <c r="D675" t="inlineStr">
        <is>
          <t>SÖDERMANLANDS LÄN</t>
        </is>
      </c>
      <c r="E675" t="inlineStr">
        <is>
          <t>STRÄNGNÄS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33537-2025</t>
        </is>
      </c>
      <c r="B676" s="1" t="n">
        <v>45841</v>
      </c>
      <c r="C676" s="1" t="n">
        <v>45875</v>
      </c>
      <c r="D676" t="inlineStr">
        <is>
          <t>SÖDERMANLANDS LÄN</t>
        </is>
      </c>
      <c r="E676" t="inlineStr">
        <is>
          <t>STRÄNGNÄS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33539-2025</t>
        </is>
      </c>
      <c r="B677" s="1" t="n">
        <v>45841</v>
      </c>
      <c r="C677" s="1" t="n">
        <v>45875</v>
      </c>
      <c r="D677" t="inlineStr">
        <is>
          <t>SÖDERMANLANDS LÄN</t>
        </is>
      </c>
      <c r="E677" t="inlineStr">
        <is>
          <t>STRÄNGNÄS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34994-2025</t>
        </is>
      </c>
      <c r="B678" s="1" t="n">
        <v>45849</v>
      </c>
      <c r="C678" s="1" t="n">
        <v>45875</v>
      </c>
      <c r="D678" t="inlineStr">
        <is>
          <t>SÖDERMANLANDS LÄN</t>
        </is>
      </c>
      <c r="E678" t="inlineStr">
        <is>
          <t>STRÄNGNÄS</t>
        </is>
      </c>
      <c r="F678" t="inlineStr">
        <is>
          <t>Allmännings- och besparingsskogar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35372-2025</t>
        </is>
      </c>
      <c r="B679" s="1" t="n">
        <v>45854</v>
      </c>
      <c r="C679" s="1" t="n">
        <v>45875</v>
      </c>
      <c r="D679" t="inlineStr">
        <is>
          <t>SÖDERMANLANDS LÄN</t>
        </is>
      </c>
      <c r="E679" t="inlineStr">
        <is>
          <t>STRÄNGNÄS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35370-2025</t>
        </is>
      </c>
      <c r="B680" s="1" t="n">
        <v>45854</v>
      </c>
      <c r="C680" s="1" t="n">
        <v>45875</v>
      </c>
      <c r="D680" t="inlineStr">
        <is>
          <t>SÖDERMANLANDS LÄN</t>
        </is>
      </c>
      <c r="E680" t="inlineStr">
        <is>
          <t>STRÄNGNÄS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36440-2025</t>
        </is>
      </c>
      <c r="B681" s="1" t="n">
        <v>45869</v>
      </c>
      <c r="C681" s="1" t="n">
        <v>45875</v>
      </c>
      <c r="D681" t="inlineStr">
        <is>
          <t>SÖDERMANLANDS LÄN</t>
        </is>
      </c>
      <c r="E681" t="inlineStr">
        <is>
          <t>STRÄNGNÄS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36796-2025</t>
        </is>
      </c>
      <c r="B682" s="1" t="n">
        <v>45873</v>
      </c>
      <c r="C682" s="1" t="n">
        <v>45875</v>
      </c>
      <c r="D682" t="inlineStr">
        <is>
          <t>SÖDERMANLANDS LÄN</t>
        </is>
      </c>
      <c r="E682" t="inlineStr">
        <is>
          <t>STRÄNGNÄS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36799-2025</t>
        </is>
      </c>
      <c r="B683" s="1" t="n">
        <v>45873</v>
      </c>
      <c r="C683" s="1" t="n">
        <v>45875</v>
      </c>
      <c r="D683" t="inlineStr">
        <is>
          <t>SÖDERMANLANDS LÄN</t>
        </is>
      </c>
      <c r="E683" t="inlineStr">
        <is>
          <t>STRÄNGNÄS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36792-2025</t>
        </is>
      </c>
      <c r="B684" s="1" t="n">
        <v>45873</v>
      </c>
      <c r="C684" s="1" t="n">
        <v>45875</v>
      </c>
      <c r="D684" t="inlineStr">
        <is>
          <t>SÖDERMANLANDS LÄN</t>
        </is>
      </c>
      <c r="E684" t="inlineStr">
        <is>
          <t>STRÄNGNÄS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2025-08-06T20:03:07Z</dcterms:created>
  <dcterms:modified xmlns:dcterms="http://purl.org/dc/terms/" xmlns:xsi="http://www.w3.org/2001/XMLSchema-instance" xsi:type="dcterms:W3CDTF">2025-08-06T20:03:08Z</dcterms:modified>
</cp:coreProperties>
</file>