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46192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46192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46192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6570-2023</t>
        </is>
      </c>
      <c r="B8" s="1" t="n">
        <v>44963</v>
      </c>
      <c r="C8" s="1" t="n">
        <v>46192</v>
      </c>
      <c r="D8" t="inlineStr">
        <is>
          <t>SÖDERMANLANDS LÄN</t>
        </is>
      </c>
      <c r="E8" t="inlineStr">
        <is>
          <t>STRÄNGNÄS</t>
        </is>
      </c>
      <c r="G8" t="n">
        <v>1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Motaggsvamp
Nordfladdermus
Tallticka
Blomkålssvamp
Mattlummer
Spillkråka
Fläcknycklar</t>
        </is>
      </c>
      <c r="S8">
        <f>HYPERLINK("https://klasma.github.io/Logging_0486/artfynd/A 6570-2023 artfynd.xlsx", "A 6570-2023")</f>
        <v/>
      </c>
      <c r="T8">
        <f>HYPERLINK("https://klasma.github.io/Logging_0486/kartor/A 6570-2023 karta.png", "A 6570-2023")</f>
        <v/>
      </c>
      <c r="U8">
        <f>HYPERLINK("https://klasma.github.io/Logging_0486/knärot/A 6570-2023 karta knärot.png", "A 6570-2023")</f>
        <v/>
      </c>
      <c r="V8">
        <f>HYPERLINK("https://klasma.github.io/Logging_0486/klagomål/A 6570-2023 FSC-klagomål.docx", "A 6570-2023")</f>
        <v/>
      </c>
      <c r="W8">
        <f>HYPERLINK("https://klasma.github.io/Logging_0486/klagomålsmail/A 6570-2023 FSC-klagomål mail.docx", "A 6570-2023")</f>
        <v/>
      </c>
      <c r="X8">
        <f>HYPERLINK("https://klasma.github.io/Logging_0486/tillsyn/A 6570-2023 tillsynsbegäran.docx", "A 6570-2023")</f>
        <v/>
      </c>
      <c r="Y8">
        <f>HYPERLINK("https://klasma.github.io/Logging_0486/tillsynsmail/A 6570-2023 tillsynsbegäran mail.docx", "A 6570-2023")</f>
        <v/>
      </c>
      <c r="Z8">
        <f>HYPERLINK("https://klasma.github.io/Logging_0486/fåglar/A 6570-2023 prioriterade fågelarter.docx", "A 6570-2023")</f>
        <v/>
      </c>
    </row>
    <row r="9" ht="15" customHeight="1">
      <c r="A9" t="inlineStr">
        <is>
          <t>A 13012-2022</t>
        </is>
      </c>
      <c r="B9" s="1" t="n">
        <v>44642</v>
      </c>
      <c r="C9" s="1" t="n">
        <v>46192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4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Skogsalm
Duvhök
Sumpviol
Korallrot
Källmossa
Grönsiska
Vanlig snok</t>
        </is>
      </c>
      <c r="S9">
        <f>HYPERLINK("https://klasma.github.io/Logging_0486/artfynd/A 13012-2022 artfynd.xlsx", "A 13012-2022")</f>
        <v/>
      </c>
      <c r="T9">
        <f>HYPERLINK("https://klasma.github.io/Logging_0486/kartor/A 13012-2022 karta.png", "A 13012-2022")</f>
        <v/>
      </c>
      <c r="V9">
        <f>HYPERLINK("https://klasma.github.io/Logging_0486/klagomål/A 13012-2022 FSC-klagomål.docx", "A 13012-2022")</f>
        <v/>
      </c>
      <c r="W9">
        <f>HYPERLINK("https://klasma.github.io/Logging_0486/klagomålsmail/A 13012-2022 FSC-klagomål mail.docx", "A 13012-2022")</f>
        <v/>
      </c>
      <c r="X9">
        <f>HYPERLINK("https://klasma.github.io/Logging_0486/tillsyn/A 13012-2022 tillsynsbegäran.docx", "A 13012-2022")</f>
        <v/>
      </c>
      <c r="Y9">
        <f>HYPERLINK("https://klasma.github.io/Logging_0486/tillsynsmail/A 13012-2022 tillsynsbegäran mail.docx", "A 13012-2022")</f>
        <v/>
      </c>
      <c r="Z9">
        <f>HYPERLINK("https://klasma.github.io/Logging_0486/fåglar/A 13012-2022 prioriterade fågelarter.docx", "A 13012-2022")</f>
        <v/>
      </c>
    </row>
    <row r="10" ht="15" customHeight="1">
      <c r="A10" t="inlineStr">
        <is>
          <t>A 43388-2022</t>
        </is>
      </c>
      <c r="B10" s="1" t="n">
        <v>44834</v>
      </c>
      <c r="C10" s="1" t="n">
        <v>46192</v>
      </c>
      <c r="D10" t="inlineStr">
        <is>
          <t>SÖDERMANLANDS LÄN</t>
        </is>
      </c>
      <c r="E10" t="inlineStr">
        <is>
          <t>STRÄNGNÄS</t>
        </is>
      </c>
      <c r="G10" t="n">
        <v>16.5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Gammelekslav
Gul dropplav
Skuggorangelav
Brun nållav
Grå skärelav
Gulpudrad spiklav</t>
        </is>
      </c>
      <c r="S10">
        <f>HYPERLINK("https://klasma.github.io/Logging_0486/artfynd/A 43388-2022 artfynd.xlsx", "A 43388-2022")</f>
        <v/>
      </c>
      <c r="T10">
        <f>HYPERLINK("https://klasma.github.io/Logging_0486/kartor/A 43388-2022 karta.png", "A 43388-2022")</f>
        <v/>
      </c>
      <c r="V10">
        <f>HYPERLINK("https://klasma.github.io/Logging_0486/klagomål/A 43388-2022 FSC-klagomål.docx", "A 43388-2022")</f>
        <v/>
      </c>
      <c r="W10">
        <f>HYPERLINK("https://klasma.github.io/Logging_0486/klagomålsmail/A 43388-2022 FSC-klagomål mail.docx", "A 43388-2022")</f>
        <v/>
      </c>
      <c r="X10">
        <f>HYPERLINK("https://klasma.github.io/Logging_0486/tillsyn/A 43388-2022 tillsynsbegäran.docx", "A 43388-2022")</f>
        <v/>
      </c>
      <c r="Y10">
        <f>HYPERLINK("https://klasma.github.io/Logging_0486/tillsynsmail/A 43388-2022 tillsynsbegäran mail.docx", "A 43388-2022")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46192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6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Gråtrut
Göktyta
Talltita
Grönsiska
Kungsfågel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46192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46192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46192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46192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  <c r="Z16">
        <f>HYPERLINK("https://klasma.github.io/Logging_0486/fåglar/A 2493-2022 prioriterade fågelarter.docx",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46192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46192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49759-2025</t>
        </is>
      </c>
      <c r="B19" s="1" t="n">
        <v>45939</v>
      </c>
      <c r="C19" s="1" t="n">
        <v>46192</v>
      </c>
      <c r="D19" t="inlineStr">
        <is>
          <t>SÖDERMANLANDS LÄN</t>
        </is>
      </c>
      <c r="E19" t="inlineStr">
        <is>
          <t>STRÄNGNÄS</t>
        </is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Kandelabersvamp
Guldlockmossa</t>
        </is>
      </c>
      <c r="S19">
        <f>HYPERLINK("https://klasma.github.io/Logging_0486/artfynd/A 49759-2025 artfynd.xlsx", "A 49759-2025")</f>
        <v/>
      </c>
      <c r="T19">
        <f>HYPERLINK("https://klasma.github.io/Logging_0486/kartor/A 49759-2025 karta.png", "A 49759-2025")</f>
        <v/>
      </c>
      <c r="V19">
        <f>HYPERLINK("https://klasma.github.io/Logging_0486/klagomål/A 49759-2025 FSC-klagomål.docx", "A 49759-2025")</f>
        <v/>
      </c>
      <c r="W19">
        <f>HYPERLINK("https://klasma.github.io/Logging_0486/klagomålsmail/A 49759-2025 FSC-klagomål mail.docx", "A 49759-2025")</f>
        <v/>
      </c>
      <c r="X19">
        <f>HYPERLINK("https://klasma.github.io/Logging_0486/tillsyn/A 49759-2025 tillsynsbegäran.docx", "A 49759-2025")</f>
        <v/>
      </c>
      <c r="Y19">
        <f>HYPERLINK("https://klasma.github.io/Logging_0486/tillsynsmail/A 49759-2025 tillsynsbegäran mail.docx", "A 49759-2025")</f>
        <v/>
      </c>
    </row>
    <row r="20" ht="15" customHeight="1">
      <c r="A20" t="inlineStr">
        <is>
          <t>A 52999-2025</t>
        </is>
      </c>
      <c r="B20" s="1" t="n">
        <v>45957</v>
      </c>
      <c r="C20" s="1" t="n">
        <v>46192</v>
      </c>
      <c r="D20" t="inlineStr">
        <is>
          <t>SÖDERMANLANDS LÄN</t>
        </is>
      </c>
      <c r="E20" t="inlineStr">
        <is>
          <t>STRÄNGNÄS</t>
        </is>
      </c>
      <c r="G20" t="n">
        <v>5.3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Kungsfågel</t>
        </is>
      </c>
      <c r="S20">
        <f>HYPERLINK("https://klasma.github.io/Logging_0486/artfynd/A 52999-2025 artfynd.xlsx", "A 52999-2025")</f>
        <v/>
      </c>
      <c r="T20">
        <f>HYPERLINK("https://klasma.github.io/Logging_0486/kartor/A 52999-2025 karta.png", "A 52999-2025")</f>
        <v/>
      </c>
      <c r="U20">
        <f>HYPERLINK("https://klasma.github.io/Logging_0486/knärot/A 52999-2025 karta knärot.png", "A 52999-2025")</f>
        <v/>
      </c>
      <c r="V20">
        <f>HYPERLINK("https://klasma.github.io/Logging_0486/klagomål/A 52999-2025 FSC-klagomål.docx", "A 52999-2025")</f>
        <v/>
      </c>
      <c r="W20">
        <f>HYPERLINK("https://klasma.github.io/Logging_0486/klagomålsmail/A 52999-2025 FSC-klagomål mail.docx", "A 52999-2025")</f>
        <v/>
      </c>
      <c r="X20">
        <f>HYPERLINK("https://klasma.github.io/Logging_0486/tillsyn/A 52999-2025 tillsynsbegäran.docx", "A 52999-2025")</f>
        <v/>
      </c>
      <c r="Y20">
        <f>HYPERLINK("https://klasma.github.io/Logging_0486/tillsynsmail/A 52999-2025 tillsynsbegäran mail.docx", "A 52999-2025")</f>
        <v/>
      </c>
      <c r="Z20">
        <f>HYPERLINK("https://klasma.github.io/Logging_0486/fåglar/A 52999-2025 prioriterade fågelarter.docx", "A 52999-2025")</f>
        <v/>
      </c>
    </row>
    <row r="21" ht="15" customHeight="1">
      <c r="A21" t="inlineStr">
        <is>
          <t>A 24688-2026</t>
        </is>
      </c>
      <c r="B21" s="1" t="n">
        <v>46171</v>
      </c>
      <c r="C21" s="1" t="n">
        <v>46192</v>
      </c>
      <c r="D21" t="inlineStr">
        <is>
          <t>SÖDERMANLANDS LÄN</t>
        </is>
      </c>
      <c r="E21" t="inlineStr">
        <is>
          <t>STRÄNGNÄS</t>
        </is>
      </c>
      <c r="G21" t="n">
        <v>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Blekticka
Svartöra
Ormbär</t>
        </is>
      </c>
      <c r="S21">
        <f>HYPERLINK("https://klasma.github.io/Logging_0486/artfynd/A 24688-2026 artfynd.xlsx", "A 24688-2026")</f>
        <v/>
      </c>
      <c r="T21">
        <f>HYPERLINK("https://klasma.github.io/Logging_0486/kartor/A 24688-2026 karta.png", "A 24688-2026")</f>
        <v/>
      </c>
      <c r="V21">
        <f>HYPERLINK("https://klasma.github.io/Logging_0486/klagomål/A 24688-2026 FSC-klagomål.docx", "A 24688-2026")</f>
        <v/>
      </c>
      <c r="W21">
        <f>HYPERLINK("https://klasma.github.io/Logging_0486/klagomålsmail/A 24688-2026 FSC-klagomål mail.docx", "A 24688-2026")</f>
        <v/>
      </c>
      <c r="X21">
        <f>HYPERLINK("https://klasma.github.io/Logging_0486/tillsyn/A 24688-2026 tillsynsbegäran.docx", "A 24688-2026")</f>
        <v/>
      </c>
      <c r="Y21">
        <f>HYPERLINK("https://klasma.github.io/Logging_0486/tillsynsmail/A 24688-2026 tillsynsbegäran mail.docx", "A 24688-2026")</f>
        <v/>
      </c>
    </row>
    <row r="22" ht="15" customHeight="1">
      <c r="A22" t="inlineStr">
        <is>
          <t>A 36799-2025</t>
        </is>
      </c>
      <c r="B22" s="1" t="n">
        <v>45873</v>
      </c>
      <c r="C22" s="1" t="n">
        <v>46192</v>
      </c>
      <c r="D22" t="inlineStr">
        <is>
          <t>SÖDERMANLANDS LÄN</t>
        </is>
      </c>
      <c r="E22" t="inlineStr">
        <is>
          <t>STRÄNGNÄS</t>
        </is>
      </c>
      <c r="G22" t="n">
        <v>2.3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Jungfrulin
Blomkålssvamp
Större vattensalamander</t>
        </is>
      </c>
      <c r="S22">
        <f>HYPERLINK("https://klasma.github.io/Logging_0486/artfynd/A 36799-2025 artfynd.xlsx", "A 36799-2025")</f>
        <v/>
      </c>
      <c r="T22">
        <f>HYPERLINK("https://klasma.github.io/Logging_0486/kartor/A 36799-2025 karta.png", "A 36799-2025")</f>
        <v/>
      </c>
      <c r="V22">
        <f>HYPERLINK("https://klasma.github.io/Logging_0486/klagomål/A 36799-2025 FSC-klagomål.docx", "A 36799-2025")</f>
        <v/>
      </c>
      <c r="W22">
        <f>HYPERLINK("https://klasma.github.io/Logging_0486/klagomålsmail/A 36799-2025 FSC-klagomål mail.docx", "A 36799-2025")</f>
        <v/>
      </c>
      <c r="X22">
        <f>HYPERLINK("https://klasma.github.io/Logging_0486/tillsyn/A 36799-2025 tillsynsbegäran.docx", "A 36799-2025")</f>
        <v/>
      </c>
      <c r="Y22">
        <f>HYPERLINK("https://klasma.github.io/Logging_0486/tillsynsmail/A 36799-2025 tillsynsbegäran mail.docx", "A 36799-2025")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46192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60143-2024</t>
        </is>
      </c>
      <c r="B24" s="1" t="n">
        <v>45642</v>
      </c>
      <c r="C24" s="1" t="n">
        <v>46192</v>
      </c>
      <c r="D24" t="inlineStr">
        <is>
          <t>SÖDERMANLANDS LÄN</t>
        </is>
      </c>
      <c r="E24" t="inlineStr">
        <is>
          <t>STRÄNGNÄS</t>
        </is>
      </c>
      <c r="G24" t="n">
        <v>0.3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Spillkråka</t>
        </is>
      </c>
      <c r="S24">
        <f>HYPERLINK("https://klasma.github.io/Logging_0486/artfynd/A 60143-2024 artfynd.xlsx", "A 60143-2024")</f>
        <v/>
      </c>
      <c r="T24">
        <f>HYPERLINK("https://klasma.github.io/Logging_0486/kartor/A 60143-2024 karta.png", "A 60143-2024")</f>
        <v/>
      </c>
      <c r="V24">
        <f>HYPERLINK("https://klasma.github.io/Logging_0486/klagomål/A 60143-2024 FSC-klagomål.docx", "A 60143-2024")</f>
        <v/>
      </c>
      <c r="W24">
        <f>HYPERLINK("https://klasma.github.io/Logging_0486/klagomålsmail/A 60143-2024 FSC-klagomål mail.docx", "A 60143-2024")</f>
        <v/>
      </c>
      <c r="X24">
        <f>HYPERLINK("https://klasma.github.io/Logging_0486/tillsyn/A 60143-2024 tillsynsbegäran.docx", "A 60143-2024")</f>
        <v/>
      </c>
      <c r="Y24">
        <f>HYPERLINK("https://klasma.github.io/Logging_0486/tillsynsmail/A 60143-2024 tillsynsbegäran mail.docx", "A 60143-2024")</f>
        <v/>
      </c>
      <c r="Z24">
        <f>HYPERLINK("https://klasma.github.io/Logging_0486/fåglar/A 60143-2024 prioriterade fågelarter.docx", "A 60143-2024")</f>
        <v/>
      </c>
    </row>
    <row r="25" ht="15" customHeight="1">
      <c r="A25" t="inlineStr">
        <is>
          <t>A 45669-2022</t>
        </is>
      </c>
      <c r="B25" s="1" t="n">
        <v>44845</v>
      </c>
      <c r="C25" s="1" t="n">
        <v>46192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Kyrkan</t>
        </is>
      </c>
      <c r="G25" t="n">
        <v>6.5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Skogsduva
Törnskata</t>
        </is>
      </c>
      <c r="S25">
        <f>HYPERLINK("https://klasma.github.io/Logging_0486/artfynd/A 45669-2022 artfynd.xlsx", "A 45669-2022")</f>
        <v/>
      </c>
      <c r="T25">
        <f>HYPERLINK("https://klasma.github.io/Logging_0486/kartor/A 45669-2022 karta.png", "A 45669-2022")</f>
        <v/>
      </c>
      <c r="V25">
        <f>HYPERLINK("https://klasma.github.io/Logging_0486/klagomål/A 45669-2022 FSC-klagomål.docx", "A 45669-2022")</f>
        <v/>
      </c>
      <c r="W25">
        <f>HYPERLINK("https://klasma.github.io/Logging_0486/klagomålsmail/A 45669-2022 FSC-klagomål mail.docx", "A 45669-2022")</f>
        <v/>
      </c>
      <c r="X25">
        <f>HYPERLINK("https://klasma.github.io/Logging_0486/tillsyn/A 45669-2022 tillsynsbegäran.docx", "A 45669-2022")</f>
        <v/>
      </c>
      <c r="Y25">
        <f>HYPERLINK("https://klasma.github.io/Logging_0486/tillsynsmail/A 45669-2022 tillsynsbegäran mail.docx", "A 45669-2022")</f>
        <v/>
      </c>
      <c r="Z25">
        <f>HYPERLINK("https://klasma.github.io/Logging_0486/fåglar/A 45669-2022 prioriterade fågelarter.docx", "A 45669-2022")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46192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Älg
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46192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10841-2026</t>
        </is>
      </c>
      <c r="B28" s="1" t="n">
        <v>46078</v>
      </c>
      <c r="C28" s="1" t="n">
        <v>46192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11.5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Grönvit nattviol
Nattviol</t>
        </is>
      </c>
      <c r="S28">
        <f>HYPERLINK("https://klasma.github.io/Logging_0486/artfynd/A 10841-2026 artfynd.xlsx", "A 10841-2026")</f>
        <v/>
      </c>
      <c r="T28">
        <f>HYPERLINK("https://klasma.github.io/Logging_0486/kartor/A 10841-2026 karta.png", "A 10841-2026")</f>
        <v/>
      </c>
      <c r="V28">
        <f>HYPERLINK("https://klasma.github.io/Logging_0486/klagomål/A 10841-2026 FSC-klagomål.docx", "A 10841-2026")</f>
        <v/>
      </c>
      <c r="W28">
        <f>HYPERLINK("https://klasma.github.io/Logging_0486/klagomålsmail/A 10841-2026 FSC-klagomål mail.docx", "A 10841-2026")</f>
        <v/>
      </c>
      <c r="X28">
        <f>HYPERLINK("https://klasma.github.io/Logging_0486/tillsyn/A 10841-2026 tillsynsbegäran.docx", "A 10841-2026")</f>
        <v/>
      </c>
      <c r="Y28">
        <f>HYPERLINK("https://klasma.github.io/Logging_0486/tillsynsmail/A 10841-2026 tillsynsbegäran mail.docx", "A 10841-2026")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46192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24683-2026</t>
        </is>
      </c>
      <c r="B30" s="1" t="n">
        <v>46171</v>
      </c>
      <c r="C30" s="1" t="n">
        <v>46192</v>
      </c>
      <c r="D30" t="inlineStr">
        <is>
          <t>SÖDERMANLANDS LÄN</t>
        </is>
      </c>
      <c r="E30" t="inlineStr">
        <is>
          <t>STRÄNGNÄS</t>
        </is>
      </c>
      <c r="G30" t="n">
        <v>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Gräshoppsångare
Enkelbeckasin</t>
        </is>
      </c>
      <c r="S30">
        <f>HYPERLINK("https://klasma.github.io/Logging_0486/artfynd/A 24683-2026 artfynd.xlsx", "A 24683-2026")</f>
        <v/>
      </c>
      <c r="T30">
        <f>HYPERLINK("https://klasma.github.io/Logging_0486/kartor/A 24683-2026 karta.png", "A 24683-2026")</f>
        <v/>
      </c>
      <c r="V30">
        <f>HYPERLINK("https://klasma.github.io/Logging_0486/klagomål/A 24683-2026 FSC-klagomål.docx", "A 24683-2026")</f>
        <v/>
      </c>
      <c r="W30">
        <f>HYPERLINK("https://klasma.github.io/Logging_0486/klagomålsmail/A 24683-2026 FSC-klagomål mail.docx", "A 24683-2026")</f>
        <v/>
      </c>
      <c r="X30">
        <f>HYPERLINK("https://klasma.github.io/Logging_0486/tillsyn/A 24683-2026 tillsynsbegäran.docx", "A 24683-2026")</f>
        <v/>
      </c>
      <c r="Y30">
        <f>HYPERLINK("https://klasma.github.io/Logging_0486/tillsynsmail/A 24683-2026 tillsynsbegäran mail.docx", "A 24683-2026")</f>
        <v/>
      </c>
      <c r="Z30">
        <f>HYPERLINK("https://klasma.github.io/Logging_0486/fåglar/A 24683-2026 prioriterade fågelarter.docx", "A 24683-2026")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46192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21317-2022</t>
        </is>
      </c>
      <c r="B32" s="1" t="n">
        <v>44705</v>
      </c>
      <c r="C32" s="1" t="n">
        <v>46192</v>
      </c>
      <c r="D32" t="inlineStr">
        <is>
          <t>SÖDERMANLANDS LÄN</t>
        </is>
      </c>
      <c r="E32" t="inlineStr">
        <is>
          <t>STRÄNGNÄS</t>
        </is>
      </c>
      <c r="G32" t="n">
        <v>1.9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21317-2022 artfynd.xlsx", "A 21317-2022")</f>
        <v/>
      </c>
      <c r="T32">
        <f>HYPERLINK("https://klasma.github.io/Logging_0486/kartor/A 21317-2022 karta.png", "A 21317-2022")</f>
        <v/>
      </c>
      <c r="V32">
        <f>HYPERLINK("https://klasma.github.io/Logging_0486/klagomål/A 21317-2022 FSC-klagomål.docx", "A 21317-2022")</f>
        <v/>
      </c>
      <c r="W32">
        <f>HYPERLINK("https://klasma.github.io/Logging_0486/klagomålsmail/A 21317-2022 FSC-klagomål mail.docx", "A 21317-2022")</f>
        <v/>
      </c>
      <c r="X32">
        <f>HYPERLINK("https://klasma.github.io/Logging_0486/tillsyn/A 21317-2022 tillsynsbegäran.docx", "A 21317-2022")</f>
        <v/>
      </c>
      <c r="Y32">
        <f>HYPERLINK("https://klasma.github.io/Logging_0486/tillsynsmail/A 21317-2022 tillsynsbegäran mail.docx", "A 21317-2022")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46192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43391-2025</t>
        </is>
      </c>
      <c r="B34" s="1" t="n">
        <v>45911</v>
      </c>
      <c r="C34" s="1" t="n">
        <v>46192</v>
      </c>
      <c r="D34" t="inlineStr">
        <is>
          <t>SÖDERMANLANDS LÄN</t>
        </is>
      </c>
      <c r="E34" t="inlineStr">
        <is>
          <t>STRÄNGNÄS</t>
        </is>
      </c>
      <c r="G34" t="n">
        <v>4.3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HYPERLINK("https://klasma.github.io/Logging_0486/artfynd/A 43391-2025 artfynd.xlsx", "A 43391-2025")</f>
        <v/>
      </c>
      <c r="T34">
        <f>HYPERLINK("https://klasma.github.io/Logging_0486/kartor/A 43391-2025 karta.png", "A 43391-2025")</f>
        <v/>
      </c>
      <c r="V34">
        <f>HYPERLINK("https://klasma.github.io/Logging_0486/klagomål/A 43391-2025 FSC-klagomål.docx", "A 43391-2025")</f>
        <v/>
      </c>
      <c r="W34">
        <f>HYPERLINK("https://klasma.github.io/Logging_0486/klagomålsmail/A 43391-2025 FSC-klagomål mail.docx", "A 43391-2025")</f>
        <v/>
      </c>
      <c r="X34">
        <f>HYPERLINK("https://klasma.github.io/Logging_0486/tillsyn/A 43391-2025 tillsynsbegäran.docx", "A 43391-2025")</f>
        <v/>
      </c>
      <c r="Y34">
        <f>HYPERLINK("https://klasma.github.io/Logging_0486/tillsynsmail/A 43391-2025 tillsynsbegäran mail.docx", "A 43391-2025")</f>
        <v/>
      </c>
      <c r="Z34">
        <f>HYPERLINK("https://klasma.github.io/Logging_0486/fåglar/A 43391-2025 prioriterade fågelarter.docx", "A 43391-2025")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46192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35360-2024</t>
        </is>
      </c>
      <c r="B36" s="1" t="n">
        <v>45531</v>
      </c>
      <c r="C36" s="1" t="n">
        <v>46192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statliga verk och myndigheter</t>
        </is>
      </c>
      <c r="G36" t="n">
        <v>7.6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HYPERLINK("https://klasma.github.io/Logging_0486/artfynd/A 35360-2024 artfynd.xlsx", "A 35360-2024")</f>
        <v/>
      </c>
      <c r="T36">
        <f>HYPERLINK("https://klasma.github.io/Logging_0486/kartor/A 35360-2024 karta.png", "A 35360-2024")</f>
        <v/>
      </c>
      <c r="V36">
        <f>HYPERLINK("https://klasma.github.io/Logging_0486/klagomål/A 35360-2024 FSC-klagomål.docx", "A 35360-2024")</f>
        <v/>
      </c>
      <c r="W36">
        <f>HYPERLINK("https://klasma.github.io/Logging_0486/klagomålsmail/A 35360-2024 FSC-klagomål mail.docx", "A 35360-2024")</f>
        <v/>
      </c>
      <c r="X36">
        <f>HYPERLINK("https://klasma.github.io/Logging_0486/tillsyn/A 35360-2024 tillsynsbegäran.docx", "A 35360-2024")</f>
        <v/>
      </c>
      <c r="Y36">
        <f>HYPERLINK("https://klasma.github.io/Logging_0486/tillsynsmail/A 35360-2024 tillsynsbegäran mail.docx", "A 35360-2024")</f>
        <v/>
      </c>
    </row>
    <row r="37" ht="15" customHeight="1">
      <c r="A37" t="inlineStr">
        <is>
          <t>A 42345-2025</t>
        </is>
      </c>
      <c r="B37" s="1" t="n">
        <v>45904</v>
      </c>
      <c r="C37" s="1" t="n">
        <v>46192</v>
      </c>
      <c r="D37" t="inlineStr">
        <is>
          <t>SÖDERMANLANDS LÄN</t>
        </is>
      </c>
      <c r="E37" t="inlineStr">
        <is>
          <t>STRÄNGNÄS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HYPERLINK("https://klasma.github.io/Logging_0486/artfynd/A 42345-2025 artfynd.xlsx", "A 42345-2025")</f>
        <v/>
      </c>
      <c r="T37">
        <f>HYPERLINK("https://klasma.github.io/Logging_0486/kartor/A 42345-2025 karta.png", "A 42345-2025")</f>
        <v/>
      </c>
      <c r="V37">
        <f>HYPERLINK("https://klasma.github.io/Logging_0486/klagomål/A 42345-2025 FSC-klagomål.docx", "A 42345-2025")</f>
        <v/>
      </c>
      <c r="W37">
        <f>HYPERLINK("https://klasma.github.io/Logging_0486/klagomålsmail/A 42345-2025 FSC-klagomål mail.docx", "A 42345-2025")</f>
        <v/>
      </c>
      <c r="X37">
        <f>HYPERLINK("https://klasma.github.io/Logging_0486/tillsyn/A 42345-2025 tillsynsbegäran.docx", "A 42345-2025")</f>
        <v/>
      </c>
      <c r="Y37">
        <f>HYPERLINK("https://klasma.github.io/Logging_0486/tillsynsmail/A 42345-2025 tillsynsbegäran mail.docx", "A 42345-2025")</f>
        <v/>
      </c>
    </row>
    <row r="38" ht="15" customHeight="1">
      <c r="A38" t="inlineStr">
        <is>
          <t>A 72270-2021</t>
        </is>
      </c>
      <c r="B38" s="1" t="n">
        <v>44545</v>
      </c>
      <c r="C38" s="1" t="n">
        <v>46192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HYPERLINK("https://klasma.github.io/Logging_0486/artfynd/A 72270-2021 artfynd.xlsx", "A 72270-2021")</f>
        <v/>
      </c>
      <c r="T38">
        <f>HYPERLINK("https://klasma.github.io/Logging_0486/kartor/A 72270-2021 karta.png", "A 72270-2021")</f>
        <v/>
      </c>
      <c r="V38">
        <f>HYPERLINK("https://klasma.github.io/Logging_0486/klagomål/A 72270-2021 FSC-klagomål.docx", "A 72270-2021")</f>
        <v/>
      </c>
      <c r="W38">
        <f>HYPERLINK("https://klasma.github.io/Logging_0486/klagomålsmail/A 72270-2021 FSC-klagomål mail.docx", "A 72270-2021")</f>
        <v/>
      </c>
      <c r="X38">
        <f>HYPERLINK("https://klasma.github.io/Logging_0486/tillsyn/A 72270-2021 tillsynsbegäran.docx", "A 72270-2021")</f>
        <v/>
      </c>
      <c r="Y38">
        <f>HYPERLINK("https://klasma.github.io/Logging_0486/tillsynsmail/A 72270-2021 tillsynsbegäran mail.docx", "A 72270-2021")</f>
        <v/>
      </c>
      <c r="Z38">
        <f>HYPERLINK("https://klasma.github.io/Logging_0486/fåglar/A 72270-2021 prioriterade fågelarter.docx", "A 72270-2021")</f>
        <v/>
      </c>
    </row>
    <row r="39" ht="15" customHeight="1">
      <c r="A39" t="inlineStr">
        <is>
          <t>A 4047-2025</t>
        </is>
      </c>
      <c r="B39" s="1" t="n">
        <v>45684</v>
      </c>
      <c r="C39" s="1" t="n">
        <v>46192</v>
      </c>
      <c r="D39" t="inlineStr">
        <is>
          <t>SÖDERMANLANDS LÄN</t>
        </is>
      </c>
      <c r="E39" t="inlineStr">
        <is>
          <t>STRÄNGNÄS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HYPERLINK("https://klasma.github.io/Logging_0486/artfynd/A 4047-2025 artfynd.xlsx", "A 4047-2025")</f>
        <v/>
      </c>
      <c r="T39">
        <f>HYPERLINK("https://klasma.github.io/Logging_0486/kartor/A 4047-2025 karta.png", "A 4047-2025")</f>
        <v/>
      </c>
      <c r="V39">
        <f>HYPERLINK("https://klasma.github.io/Logging_0486/klagomål/A 4047-2025 FSC-klagomål.docx", "A 4047-2025")</f>
        <v/>
      </c>
      <c r="W39">
        <f>HYPERLINK("https://klasma.github.io/Logging_0486/klagomålsmail/A 4047-2025 FSC-klagomål mail.docx", "A 4047-2025")</f>
        <v/>
      </c>
      <c r="X39">
        <f>HYPERLINK("https://klasma.github.io/Logging_0486/tillsyn/A 4047-2025 tillsynsbegäran.docx", "A 4047-2025")</f>
        <v/>
      </c>
      <c r="Y39">
        <f>HYPERLINK("https://klasma.github.io/Logging_0486/tillsynsmail/A 4047-2025 tillsynsbegäran mail.docx", "A 4047-2025")</f>
        <v/>
      </c>
    </row>
    <row r="40" ht="15" customHeight="1">
      <c r="A40" t="inlineStr">
        <is>
          <t>A 52355-2023</t>
        </is>
      </c>
      <c r="B40" s="1" t="n">
        <v>45224</v>
      </c>
      <c r="C40" s="1" t="n">
        <v>46192</v>
      </c>
      <c r="D40" t="inlineStr">
        <is>
          <t>SÖDERMANLANDS LÄN</t>
        </is>
      </c>
      <c r="E40" t="inlineStr">
        <is>
          <t>STRÄNGNÄS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HYPERLINK("https://klasma.github.io/Logging_0486/artfynd/A 52355-2023 artfynd.xlsx", "A 52355-2023")</f>
        <v/>
      </c>
      <c r="T40">
        <f>HYPERLINK("https://klasma.github.io/Logging_0486/kartor/A 52355-2023 karta.png", "A 52355-2023")</f>
        <v/>
      </c>
      <c r="V40">
        <f>HYPERLINK("https://klasma.github.io/Logging_0486/klagomål/A 52355-2023 FSC-klagomål.docx", "A 52355-2023")</f>
        <v/>
      </c>
      <c r="W40">
        <f>HYPERLINK("https://klasma.github.io/Logging_0486/klagomålsmail/A 52355-2023 FSC-klagomål mail.docx", "A 52355-2023")</f>
        <v/>
      </c>
      <c r="X40">
        <f>HYPERLINK("https://klasma.github.io/Logging_0486/tillsyn/A 52355-2023 tillsynsbegäran.docx", "A 52355-2023")</f>
        <v/>
      </c>
      <c r="Y40">
        <f>HYPERLINK("https://klasma.github.io/Logging_0486/tillsynsmail/A 52355-2023 tillsynsbegäran mail.docx", "A 52355-2023")</f>
        <v/>
      </c>
    </row>
    <row r="41" ht="15" customHeight="1">
      <c r="A41" t="inlineStr">
        <is>
          <t>A 52997-2025</t>
        </is>
      </c>
      <c r="B41" s="1" t="n">
        <v>45957</v>
      </c>
      <c r="C41" s="1" t="n">
        <v>46192</v>
      </c>
      <c r="D41" t="inlineStr">
        <is>
          <t>SÖDERMANLANDS LÄN</t>
        </is>
      </c>
      <c r="E41" t="inlineStr">
        <is>
          <t>STRÄNGNÄS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HYPERLINK("https://klasma.github.io/Logging_0486/artfynd/A 52997-2025 artfynd.xlsx", "A 52997-2025")</f>
        <v/>
      </c>
      <c r="T41">
        <f>HYPERLINK("https://klasma.github.io/Logging_0486/kartor/A 52997-2025 karta.png", "A 52997-2025")</f>
        <v/>
      </c>
      <c r="U41">
        <f>HYPERLINK("https://klasma.github.io/Logging_0486/knärot/A 52997-2025 karta knärot.png", "A 52997-2025")</f>
        <v/>
      </c>
      <c r="V41">
        <f>HYPERLINK("https://klasma.github.io/Logging_0486/klagomål/A 52997-2025 FSC-klagomål.docx", "A 52997-2025")</f>
        <v/>
      </c>
      <c r="W41">
        <f>HYPERLINK("https://klasma.github.io/Logging_0486/klagomålsmail/A 52997-2025 FSC-klagomål mail.docx", "A 52997-2025")</f>
        <v/>
      </c>
      <c r="X41">
        <f>HYPERLINK("https://klasma.github.io/Logging_0486/tillsyn/A 52997-2025 tillsynsbegäran.docx", "A 52997-2025")</f>
        <v/>
      </c>
      <c r="Y41">
        <f>HYPERLINK("https://klasma.github.io/Logging_0486/tillsynsmail/A 52997-2025 tillsynsbegäran mail.docx", "A 52997-2025")</f>
        <v/>
      </c>
    </row>
    <row r="42" ht="15" customHeight="1">
      <c r="A42" t="inlineStr">
        <is>
          <t>A 52320-2023</t>
        </is>
      </c>
      <c r="B42" s="1" t="n">
        <v>45224</v>
      </c>
      <c r="C42" s="1" t="n">
        <v>46192</v>
      </c>
      <c r="D42" t="inlineStr">
        <is>
          <t>SÖDERMANLANDS LÄN</t>
        </is>
      </c>
      <c r="E42" t="inlineStr">
        <is>
          <t>STRÄNGNÄS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HYPERLINK("https://klasma.github.io/Logging_0486/artfynd/A 52320-2023 artfynd.xlsx", "A 52320-2023")</f>
        <v/>
      </c>
      <c r="T42">
        <f>HYPERLINK("https://klasma.github.io/Logging_0486/kartor/A 52320-2023 karta.png", "A 52320-2023")</f>
        <v/>
      </c>
      <c r="V42">
        <f>HYPERLINK("https://klasma.github.io/Logging_0486/klagomål/A 52320-2023 FSC-klagomål.docx", "A 52320-2023")</f>
        <v/>
      </c>
      <c r="W42">
        <f>HYPERLINK("https://klasma.github.io/Logging_0486/klagomålsmail/A 52320-2023 FSC-klagomål mail.docx", "A 52320-2023")</f>
        <v/>
      </c>
      <c r="X42">
        <f>HYPERLINK("https://klasma.github.io/Logging_0486/tillsyn/A 52320-2023 tillsynsbegäran.docx", "A 52320-2023")</f>
        <v/>
      </c>
      <c r="Y42">
        <f>HYPERLINK("https://klasma.github.io/Logging_0486/tillsynsmail/A 52320-2023 tillsynsbegäran mail.docx", "A 52320-2023")</f>
        <v/>
      </c>
    </row>
    <row r="43" ht="15" customHeight="1">
      <c r="A43" t="inlineStr">
        <is>
          <t>A 18879-2023</t>
        </is>
      </c>
      <c r="B43" s="1" t="n">
        <v>45044</v>
      </c>
      <c r="C43" s="1" t="n">
        <v>46192</v>
      </c>
      <c r="D43" t="inlineStr">
        <is>
          <t>SÖDERMANLANDS LÄN</t>
        </is>
      </c>
      <c r="E43" t="inlineStr">
        <is>
          <t>STRÄNGNÄS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Mistel</t>
        </is>
      </c>
      <c r="S43">
        <f>HYPERLINK("https://klasma.github.io/Logging_0486/artfynd/A 18879-2023 artfynd.xlsx", "A 18879-2023")</f>
        <v/>
      </c>
      <c r="T43">
        <f>HYPERLINK("https://klasma.github.io/Logging_0486/kartor/A 18879-2023 karta.png", "A 18879-2023")</f>
        <v/>
      </c>
      <c r="V43">
        <f>HYPERLINK("https://klasma.github.io/Logging_0486/klagomål/A 18879-2023 FSC-klagomål.docx", "A 18879-2023")</f>
        <v/>
      </c>
      <c r="W43">
        <f>HYPERLINK("https://klasma.github.io/Logging_0486/klagomålsmail/A 18879-2023 FSC-klagomål mail.docx", "A 18879-2023")</f>
        <v/>
      </c>
      <c r="X43">
        <f>HYPERLINK("https://klasma.github.io/Logging_0486/tillsyn/A 18879-2023 tillsynsbegäran.docx", "A 18879-2023")</f>
        <v/>
      </c>
      <c r="Y43">
        <f>HYPERLINK("https://klasma.github.io/Logging_0486/tillsynsmail/A 18879-2023 tillsynsbegäran mail.docx", "A 18879-2023")</f>
        <v/>
      </c>
    </row>
    <row r="44" ht="15" customHeight="1">
      <c r="A44" t="inlineStr">
        <is>
          <t>A 24454-2022</t>
        </is>
      </c>
      <c r="B44" s="1" t="n">
        <v>44726</v>
      </c>
      <c r="C44" s="1" t="n">
        <v>46192</v>
      </c>
      <c r="D44" t="inlineStr">
        <is>
          <t>SÖDERMANLANDS LÄN</t>
        </is>
      </c>
      <c r="E44" t="inlineStr">
        <is>
          <t>STRÄNGNÄS</t>
        </is>
      </c>
      <c r="G44" t="n">
        <v>12.5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HYPERLINK("https://klasma.github.io/Logging_0486/artfynd/A 24454-2022 artfynd.xlsx", "A 24454-2022")</f>
        <v/>
      </c>
      <c r="T44">
        <f>HYPERLINK("https://klasma.github.io/Logging_0486/kartor/A 24454-2022 karta.png", "A 24454-2022")</f>
        <v/>
      </c>
      <c r="V44">
        <f>HYPERLINK("https://klasma.github.io/Logging_0486/klagomål/A 24454-2022 FSC-klagomål.docx", "A 24454-2022")</f>
        <v/>
      </c>
      <c r="W44">
        <f>HYPERLINK("https://klasma.github.io/Logging_0486/klagomålsmail/A 24454-2022 FSC-klagomål mail.docx", "A 24454-2022")</f>
        <v/>
      </c>
      <c r="X44">
        <f>HYPERLINK("https://klasma.github.io/Logging_0486/tillsyn/A 24454-2022 tillsynsbegäran.docx", "A 24454-2022")</f>
        <v/>
      </c>
      <c r="Y44">
        <f>HYPERLINK("https://klasma.github.io/Logging_0486/tillsynsmail/A 24454-2022 tillsynsbegäran mail.docx", "A 24454-2022")</f>
        <v/>
      </c>
      <c r="Z44">
        <f>HYPERLINK("https://klasma.github.io/Logging_0486/fåglar/A 24454-2022 prioriterade fågelarter.docx", "A 24454-2022")</f>
        <v/>
      </c>
    </row>
    <row r="45" ht="15" customHeight="1">
      <c r="A45" t="inlineStr">
        <is>
          <t>A 41511-2022</t>
        </is>
      </c>
      <c r="B45" s="1" t="n">
        <v>44827</v>
      </c>
      <c r="C45" s="1" t="n">
        <v>46192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Aktiebolag</t>
        </is>
      </c>
      <c r="G45" t="n">
        <v>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HYPERLINK("https://klasma.github.io/Logging_0486/artfynd/A 41511-2022 artfynd.xlsx", "A 41511-2022")</f>
        <v/>
      </c>
      <c r="T45">
        <f>HYPERLINK("https://klasma.github.io/Logging_0486/kartor/A 41511-2022 karta.png", "A 41511-2022")</f>
        <v/>
      </c>
      <c r="V45">
        <f>HYPERLINK("https://klasma.github.io/Logging_0486/klagomål/A 41511-2022 FSC-klagomål.docx", "A 41511-2022")</f>
        <v/>
      </c>
      <c r="W45">
        <f>HYPERLINK("https://klasma.github.io/Logging_0486/klagomålsmail/A 41511-2022 FSC-klagomål mail.docx", "A 41511-2022")</f>
        <v/>
      </c>
      <c r="X45">
        <f>HYPERLINK("https://klasma.github.io/Logging_0486/tillsyn/A 41511-2022 tillsynsbegäran.docx", "A 41511-2022")</f>
        <v/>
      </c>
      <c r="Y45">
        <f>HYPERLINK("https://klasma.github.io/Logging_0486/tillsynsmail/A 41511-2022 tillsynsbegäran mail.docx", "A 41511-2022")</f>
        <v/>
      </c>
    </row>
    <row r="46" ht="15" customHeight="1">
      <c r="A46" t="inlineStr">
        <is>
          <t>A 42527-2025</t>
        </is>
      </c>
      <c r="B46" s="1" t="n">
        <v>45905</v>
      </c>
      <c r="C46" s="1" t="n">
        <v>46192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Allmännings- och besparingsskogar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HYPERLINK("https://klasma.github.io/Logging_0486/artfynd/A 42527-2025 artfynd.xlsx", "A 42527-2025")</f>
        <v/>
      </c>
      <c r="T46">
        <f>HYPERLINK("https://klasma.github.io/Logging_0486/kartor/A 42527-2025 karta.png", "A 42527-2025")</f>
        <v/>
      </c>
      <c r="V46">
        <f>HYPERLINK("https://klasma.github.io/Logging_0486/klagomål/A 42527-2025 FSC-klagomål.docx", "A 42527-2025")</f>
        <v/>
      </c>
      <c r="W46">
        <f>HYPERLINK("https://klasma.github.io/Logging_0486/klagomålsmail/A 42527-2025 FSC-klagomål mail.docx", "A 42527-2025")</f>
        <v/>
      </c>
      <c r="X46">
        <f>HYPERLINK("https://klasma.github.io/Logging_0486/tillsyn/A 42527-2025 tillsynsbegäran.docx", "A 42527-2025")</f>
        <v/>
      </c>
      <c r="Y46">
        <f>HYPERLINK("https://klasma.github.io/Logging_0486/tillsynsmail/A 42527-2025 tillsynsbegäran mail.docx", "A 42527-2025")</f>
        <v/>
      </c>
    </row>
    <row r="47" ht="15" customHeight="1">
      <c r="A47" t="inlineStr">
        <is>
          <t>A 36853-2022</t>
        </is>
      </c>
      <c r="B47" s="1" t="n">
        <v>44805</v>
      </c>
      <c r="C47" s="1" t="n">
        <v>46192</v>
      </c>
      <c r="D47" t="inlineStr">
        <is>
          <t>SÖDERMANLANDS LÄN</t>
        </is>
      </c>
      <c r="E47" t="inlineStr">
        <is>
          <t>STRÄNGNÄS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14024-2022</t>
        </is>
      </c>
      <c r="B48" s="1" t="n">
        <v>44650</v>
      </c>
      <c r="C48" s="1" t="n">
        <v>46192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53488-2022</t>
        </is>
      </c>
      <c r="B49" s="1" t="n">
        <v>44874</v>
      </c>
      <c r="C49" s="1" t="n">
        <v>46192</v>
      </c>
      <c r="D49" t="inlineStr">
        <is>
          <t>SÖDERMANLANDS LÄN</t>
        </is>
      </c>
      <c r="E49" t="inlineStr">
        <is>
          <t>STRÄNGNÄS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46192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46192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46192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12277-2022</t>
        </is>
      </c>
      <c r="B53" s="1" t="n">
        <v>44637</v>
      </c>
      <c r="C53" s="1" t="n">
        <v>46192</v>
      </c>
      <c r="D53" t="inlineStr">
        <is>
          <t>SÖDERMANLANDS LÄN</t>
        </is>
      </c>
      <c r="E53" t="inlineStr">
        <is>
          <t>STRÄNGNÄS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15814-2022</t>
        </is>
      </c>
      <c r="B54" s="1" t="n">
        <v>44664</v>
      </c>
      <c r="C54" s="1" t="n">
        <v>46192</v>
      </c>
      <c r="D54" t="inlineStr">
        <is>
          <t>SÖDERMANLANDS LÄN</t>
        </is>
      </c>
      <c r="E54" t="inlineStr">
        <is>
          <t>STRÄNGNÄS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47251-2021</t>
        </is>
      </c>
      <c r="B55" s="1" t="n">
        <v>44439</v>
      </c>
      <c r="C55" s="1" t="n">
        <v>46192</v>
      </c>
      <c r="D55" t="inlineStr">
        <is>
          <t>SÖDERMANLANDS LÄN</t>
        </is>
      </c>
      <c r="E55" t="inlineStr">
        <is>
          <t>STRÄNGNÄS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46192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46192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46192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46192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46192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46192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73092-2021</t>
        </is>
      </c>
      <c r="B63" s="1" t="n">
        <v>44550</v>
      </c>
      <c r="C63" s="1" t="n">
        <v>46192</v>
      </c>
      <c r="D63" t="inlineStr">
        <is>
          <t>SÖDERMANLANDS LÄN</t>
        </is>
      </c>
      <c r="E63" t="inlineStr">
        <is>
          <t>STRÄNGNÄS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45129-2021</t>
        </is>
      </c>
      <c r="B64" s="1" t="n">
        <v>44439</v>
      </c>
      <c r="C64" s="1" t="n">
        <v>46192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45131-2021</t>
        </is>
      </c>
      <c r="B65" s="1" t="n">
        <v>44439</v>
      </c>
      <c r="C65" s="1" t="n">
        <v>46192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Kommuner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46192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46192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46192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46192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46192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46192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46192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46192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43523-2021</t>
        </is>
      </c>
      <c r="B74" s="1" t="n">
        <v>44432</v>
      </c>
      <c r="C74" s="1" t="n">
        <v>46192</v>
      </c>
      <c r="D74" t="inlineStr">
        <is>
          <t>SÖDERMANLANDS LÄN</t>
        </is>
      </c>
      <c r="E74" t="inlineStr">
        <is>
          <t>STRÄNGNÄS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46192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46192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46192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46192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46192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46192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46192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46192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46192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46192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46192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46192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46192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46192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46192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51762-2022</t>
        </is>
      </c>
      <c r="B91" s="1" t="n">
        <v>44872</v>
      </c>
      <c r="C91" s="1" t="n">
        <v>46192</v>
      </c>
      <c r="D91" t="inlineStr">
        <is>
          <t>SÖDERMANLANDS LÄN</t>
        </is>
      </c>
      <c r="E91" t="inlineStr">
        <is>
          <t>STRÄNGNÄS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52790-2023</t>
        </is>
      </c>
      <c r="B92" s="1" t="n">
        <v>45219</v>
      </c>
      <c r="C92" s="1" t="n">
        <v>46192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63301-2021</t>
        </is>
      </c>
      <c r="B93" s="1" t="n">
        <v>44505</v>
      </c>
      <c r="C93" s="1" t="n">
        <v>46192</v>
      </c>
      <c r="D93" t="inlineStr">
        <is>
          <t>SÖDERMANLANDS LÄN</t>
        </is>
      </c>
      <c r="E93" t="inlineStr">
        <is>
          <t>STRÄNGNÄS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46192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</v>
      </c>
      <c r="C95" s="1" t="n">
        <v>46192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33492-2022</t>
        </is>
      </c>
      <c r="B96" s="1" t="n">
        <v>44788</v>
      </c>
      <c r="C96" s="1" t="n">
        <v>46192</v>
      </c>
      <c r="D96" t="inlineStr">
        <is>
          <t>SÖDERMANLANDS LÄN</t>
        </is>
      </c>
      <c r="E96" t="inlineStr">
        <is>
          <t>STRÄNGNÄS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9234-2023</t>
        </is>
      </c>
      <c r="B97" s="1" t="n">
        <v>44980</v>
      </c>
      <c r="C97" s="1" t="n">
        <v>46192</v>
      </c>
      <c r="D97" t="inlineStr">
        <is>
          <t>SÖDERMANLANDS LÄN</t>
        </is>
      </c>
      <c r="E97" t="inlineStr">
        <is>
          <t>STRÄNGNÄS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46192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2497-2022</t>
        </is>
      </c>
      <c r="B99" s="1" t="n">
        <v>44579</v>
      </c>
      <c r="C99" s="1" t="n">
        <v>46192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46192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46192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46192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46192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1117-2022</t>
        </is>
      </c>
      <c r="B104" s="1" t="n">
        <v>44571</v>
      </c>
      <c r="C104" s="1" t="n">
        <v>46192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38332-2021</t>
        </is>
      </c>
      <c r="B105" s="1" t="n">
        <v>44406</v>
      </c>
      <c r="C105" s="1" t="n">
        <v>46192</v>
      </c>
      <c r="D105" t="inlineStr">
        <is>
          <t>SÖDERMANLANDS LÄN</t>
        </is>
      </c>
      <c r="E105" t="inlineStr">
        <is>
          <t>STRÄNGNÄS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43387-2022</t>
        </is>
      </c>
      <c r="B106" s="1" t="n">
        <v>44834</v>
      </c>
      <c r="C106" s="1" t="n">
        <v>46192</v>
      </c>
      <c r="D106" t="inlineStr">
        <is>
          <t>SÖDERMANLANDS LÄN</t>
        </is>
      </c>
      <c r="E106" t="inlineStr">
        <is>
          <t>STRÄNGNÄS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22080-2022</t>
        </is>
      </c>
      <c r="B107" s="1" t="n">
        <v>44711</v>
      </c>
      <c r="C107" s="1" t="n">
        <v>46192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53897-2022</t>
        </is>
      </c>
      <c r="B108" s="1" t="n">
        <v>44880</v>
      </c>
      <c r="C108" s="1" t="n">
        <v>46192</v>
      </c>
      <c r="D108" t="inlineStr">
        <is>
          <t>SÖDERMANLANDS LÄN</t>
        </is>
      </c>
      <c r="E108" t="inlineStr">
        <is>
          <t>STRÄNGNÄS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33752-2021</t>
        </is>
      </c>
      <c r="B109" s="1" t="n">
        <v>44378</v>
      </c>
      <c r="C109" s="1" t="n">
        <v>46192</v>
      </c>
      <c r="D109" t="inlineStr">
        <is>
          <t>SÖDERMANLANDS LÄN</t>
        </is>
      </c>
      <c r="E109" t="inlineStr">
        <is>
          <t>STRÄNGNÄS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64355-2023</t>
        </is>
      </c>
      <c r="B110" s="1" t="n">
        <v>45280</v>
      </c>
      <c r="C110" s="1" t="n">
        <v>46192</v>
      </c>
      <c r="D110" t="inlineStr">
        <is>
          <t>SÖDERMANLANDS LÄN</t>
        </is>
      </c>
      <c r="E110" t="inlineStr">
        <is>
          <t>STRÄNGNÄS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4335-2023</t>
        </is>
      </c>
      <c r="B111" s="1" t="n">
        <v>44953</v>
      </c>
      <c r="C111" s="1" t="n">
        <v>46192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</v>
      </c>
      <c r="C112" s="1" t="n">
        <v>46192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43946-2022</t>
        </is>
      </c>
      <c r="B113" s="1" t="n">
        <v>44838</v>
      </c>
      <c r="C113" s="1" t="n">
        <v>46192</v>
      </c>
      <c r="D113" t="inlineStr">
        <is>
          <t>SÖDERMANLANDS LÄN</t>
        </is>
      </c>
      <c r="E113" t="inlineStr">
        <is>
          <t>STRÄNGNÄS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45984-2022</t>
        </is>
      </c>
      <c r="B114" s="1" t="n">
        <v>44846</v>
      </c>
      <c r="C114" s="1" t="n">
        <v>46192</v>
      </c>
      <c r="D114" t="inlineStr">
        <is>
          <t>SÖDERMANLANDS LÄN</t>
        </is>
      </c>
      <c r="E114" t="inlineStr">
        <is>
          <t>STRÄNGNÄS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46192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</v>
      </c>
      <c r="C116" s="1" t="n">
        <v>46192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12114-2023</t>
        </is>
      </c>
      <c r="B117" s="1" t="n">
        <v>44998</v>
      </c>
      <c r="C117" s="1" t="n">
        <v>46192</v>
      </c>
      <c r="D117" t="inlineStr">
        <is>
          <t>SÖDERMANLANDS LÄN</t>
        </is>
      </c>
      <c r="E117" t="inlineStr">
        <is>
          <t>STRÄNGNÄS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10867-2023</t>
        </is>
      </c>
      <c r="B118" s="1" t="n">
        <v>44991</v>
      </c>
      <c r="C118" s="1" t="n">
        <v>46192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40112-2025</t>
        </is>
      </c>
      <c r="B119" s="1" t="n">
        <v>45894</v>
      </c>
      <c r="C119" s="1" t="n">
        <v>46192</v>
      </c>
      <c r="D119" t="inlineStr">
        <is>
          <t>SÖDERMANLANDS LÄN</t>
        </is>
      </c>
      <c r="E119" t="inlineStr">
        <is>
          <t>STRÄNGNÄS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42806-2023</t>
        </is>
      </c>
      <c r="B120" s="1" t="n">
        <v>45182</v>
      </c>
      <c r="C120" s="1" t="n">
        <v>46192</v>
      </c>
      <c r="D120" t="inlineStr">
        <is>
          <t>SÖDERMANLANDS LÄN</t>
        </is>
      </c>
      <c r="E120" t="inlineStr">
        <is>
          <t>STRÄNGNÄS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21126-2023</t>
        </is>
      </c>
      <c r="B121" s="1" t="n">
        <v>45057</v>
      </c>
      <c r="C121" s="1" t="n">
        <v>46192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46192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11243-2023</t>
        </is>
      </c>
      <c r="B123" s="1" t="n">
        <v>44992</v>
      </c>
      <c r="C123" s="1" t="n">
        <v>46192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54656-2023</t>
        </is>
      </c>
      <c r="B124" s="1" t="n">
        <v>45235</v>
      </c>
      <c r="C124" s="1" t="n">
        <v>46192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</v>
      </c>
      <c r="C125" s="1" t="n">
        <v>46192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53904-2022</t>
        </is>
      </c>
      <c r="B126" s="1" t="n">
        <v>44880</v>
      </c>
      <c r="C126" s="1" t="n">
        <v>46192</v>
      </c>
      <c r="D126" t="inlineStr">
        <is>
          <t>SÖDERMANLANDS LÄN</t>
        </is>
      </c>
      <c r="E126" t="inlineStr">
        <is>
          <t>STRÄNGNÄS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12123-2023</t>
        </is>
      </c>
      <c r="B127" s="1" t="n">
        <v>44998</v>
      </c>
      <c r="C127" s="1" t="n">
        <v>46192</v>
      </c>
      <c r="D127" t="inlineStr">
        <is>
          <t>SÖDERMANLANDS LÄN</t>
        </is>
      </c>
      <c r="E127" t="inlineStr">
        <is>
          <t>STRÄNGNÄS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52712-2025</t>
        </is>
      </c>
      <c r="B128" s="1" t="n">
        <v>45957</v>
      </c>
      <c r="C128" s="1" t="n">
        <v>46192</v>
      </c>
      <c r="D128" t="inlineStr">
        <is>
          <t>SÖDERMANLANDS LÄN</t>
        </is>
      </c>
      <c r="E128" t="inlineStr">
        <is>
          <t>STRÄNGNÄS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10346-2023</t>
        </is>
      </c>
      <c r="B129" s="1" t="n">
        <v>44987</v>
      </c>
      <c r="C129" s="1" t="n">
        <v>46192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53773-2025</t>
        </is>
      </c>
      <c r="B130" s="1" t="n">
        <v>45960</v>
      </c>
      <c r="C130" s="1" t="n">
        <v>46192</v>
      </c>
      <c r="D130" t="inlineStr">
        <is>
          <t>SÖDERMANLANDS LÄN</t>
        </is>
      </c>
      <c r="E130" t="inlineStr">
        <is>
          <t>STRÄNGNÄS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14847-2023</t>
        </is>
      </c>
      <c r="B131" s="1" t="n">
        <v>45014</v>
      </c>
      <c r="C131" s="1" t="n">
        <v>46192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Allmännings- och besparingsskogar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864-2023</t>
        </is>
      </c>
      <c r="B132" s="1" t="n">
        <v>44931</v>
      </c>
      <c r="C132" s="1" t="n">
        <v>46192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50296-2021</t>
        </is>
      </c>
      <c r="B133" s="1" t="n">
        <v>44459</v>
      </c>
      <c r="C133" s="1" t="n">
        <v>46192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36469-2023</t>
        </is>
      </c>
      <c r="B134" s="1" t="n">
        <v>45152</v>
      </c>
      <c r="C134" s="1" t="n">
        <v>46192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42726-2023</t>
        </is>
      </c>
      <c r="B135" s="1" t="n">
        <v>45181</v>
      </c>
      <c r="C135" s="1" t="n">
        <v>46192</v>
      </c>
      <c r="D135" t="inlineStr">
        <is>
          <t>SÖDERMANLANDS LÄN</t>
        </is>
      </c>
      <c r="E135" t="inlineStr">
        <is>
          <t>STRÄNGNÄS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43412-2021</t>
        </is>
      </c>
      <c r="B136" s="1" t="n">
        <v>44432</v>
      </c>
      <c r="C136" s="1" t="n">
        <v>46192</v>
      </c>
      <c r="D136" t="inlineStr">
        <is>
          <t>SÖDERMANLANDS LÄN</t>
        </is>
      </c>
      <c r="E136" t="inlineStr">
        <is>
          <t>STRÄNGNÄS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58241-2022</t>
        </is>
      </c>
      <c r="B137" s="1" t="n">
        <v>44901</v>
      </c>
      <c r="C137" s="1" t="n">
        <v>46192</v>
      </c>
      <c r="D137" t="inlineStr">
        <is>
          <t>SÖDERMANLANDS LÄN</t>
        </is>
      </c>
      <c r="E137" t="inlineStr">
        <is>
          <t>STRÄNGNÄS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58518-2021</t>
        </is>
      </c>
      <c r="B138" s="1" t="n">
        <v>44488</v>
      </c>
      <c r="C138" s="1" t="n">
        <v>46192</v>
      </c>
      <c r="D138" t="inlineStr">
        <is>
          <t>SÖDERMANLANDS LÄN</t>
        </is>
      </c>
      <c r="E138" t="inlineStr">
        <is>
          <t>STRÄNGNÄS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63732-2021</t>
        </is>
      </c>
      <c r="B139" s="1" t="n">
        <v>44508</v>
      </c>
      <c r="C139" s="1" t="n">
        <v>46192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54451-2025</t>
        </is>
      </c>
      <c r="B140" s="1" t="n">
        <v>45965</v>
      </c>
      <c r="C140" s="1" t="n">
        <v>46192</v>
      </c>
      <c r="D140" t="inlineStr">
        <is>
          <t>SÖDERMANLANDS LÄN</t>
        </is>
      </c>
      <c r="E140" t="inlineStr">
        <is>
          <t>STRÄNGNÄS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60748-2021</t>
        </is>
      </c>
      <c r="B141" s="1" t="n">
        <v>44496</v>
      </c>
      <c r="C141" s="1" t="n">
        <v>46192</v>
      </c>
      <c r="D141" t="inlineStr">
        <is>
          <t>SÖDERMANLANDS LÄN</t>
        </is>
      </c>
      <c r="E141" t="inlineStr">
        <is>
          <t>STRÄNGNÄS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46882-2023</t>
        </is>
      </c>
      <c r="B142" s="1" t="n">
        <v>45201</v>
      </c>
      <c r="C142" s="1" t="n">
        <v>46192</v>
      </c>
      <c r="D142" t="inlineStr">
        <is>
          <t>SÖDERMANLANDS LÄN</t>
        </is>
      </c>
      <c r="E142" t="inlineStr">
        <is>
          <t>STRÄNGNÄS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1117-2022</t>
        </is>
      </c>
      <c r="B143" s="1" t="n">
        <v>44571</v>
      </c>
      <c r="C143" s="1" t="n">
        <v>46192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56124-2025</t>
        </is>
      </c>
      <c r="B144" s="1" t="n">
        <v>45973</v>
      </c>
      <c r="C144" s="1" t="n">
        <v>46192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57150-2025</t>
        </is>
      </c>
      <c r="B145" s="1" t="n">
        <v>45979</v>
      </c>
      <c r="C145" s="1" t="n">
        <v>46192</v>
      </c>
      <c r="D145" t="inlineStr">
        <is>
          <t>SÖDERMANLANDS LÄN</t>
        </is>
      </c>
      <c r="E145" t="inlineStr">
        <is>
          <t>STRÄNGNÄS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9625-2022</t>
        </is>
      </c>
      <c r="B146" s="1" t="n">
        <v>44617</v>
      </c>
      <c r="C146" s="1" t="n">
        <v>46192</v>
      </c>
      <c r="D146" t="inlineStr">
        <is>
          <t>SÖDERMANLANDS LÄN</t>
        </is>
      </c>
      <c r="E146" t="inlineStr">
        <is>
          <t>STRÄNGNÄS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32552-2023</t>
        </is>
      </c>
      <c r="B147" s="1" t="n">
        <v>45121</v>
      </c>
      <c r="C147" s="1" t="n">
        <v>46192</v>
      </c>
      <c r="D147" t="inlineStr">
        <is>
          <t>SÖDERMANLANDS LÄN</t>
        </is>
      </c>
      <c r="E147" t="inlineStr">
        <is>
          <t>STRÄNGNÄS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61656-2023</t>
        </is>
      </c>
      <c r="B148" s="1" t="n">
        <v>45265</v>
      </c>
      <c r="C148" s="1" t="n">
        <v>46192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58936-2025</t>
        </is>
      </c>
      <c r="B149" s="1" t="n">
        <v>45986</v>
      </c>
      <c r="C149" s="1" t="n">
        <v>46192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58935-2025</t>
        </is>
      </c>
      <c r="B150" s="1" t="n">
        <v>45986</v>
      </c>
      <c r="C150" s="1" t="n">
        <v>46192</v>
      </c>
      <c r="D150" t="inlineStr">
        <is>
          <t>SÖDERMANLANDS LÄN</t>
        </is>
      </c>
      <c r="E150" t="inlineStr">
        <is>
          <t>STRÄNGNÄS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30375-2022</t>
        </is>
      </c>
      <c r="B151" s="1" t="n">
        <v>44760</v>
      </c>
      <c r="C151" s="1" t="n">
        <v>46192</v>
      </c>
      <c r="D151" t="inlineStr">
        <is>
          <t>SÖDERMANLANDS LÄN</t>
        </is>
      </c>
      <c r="E151" t="inlineStr">
        <is>
          <t>STRÄNGNÄS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58022-2022</t>
        </is>
      </c>
      <c r="B152" s="1" t="n">
        <v>44900</v>
      </c>
      <c r="C152" s="1" t="n">
        <v>46192</v>
      </c>
      <c r="D152" t="inlineStr">
        <is>
          <t>SÖDERMANLANDS LÄN</t>
        </is>
      </c>
      <c r="E152" t="inlineStr">
        <is>
          <t>STRÄNGNÄS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43386-2022</t>
        </is>
      </c>
      <c r="B153" s="1" t="n">
        <v>44834</v>
      </c>
      <c r="C153" s="1" t="n">
        <v>46192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65151-2023</t>
        </is>
      </c>
      <c r="B154" s="1" t="n">
        <v>45288</v>
      </c>
      <c r="C154" s="1" t="n">
        <v>46192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12546-2025</t>
        </is>
      </c>
      <c r="B155" s="1" t="n">
        <v>45730</v>
      </c>
      <c r="C155" s="1" t="n">
        <v>46192</v>
      </c>
      <c r="D155" t="inlineStr">
        <is>
          <t>SÖDERMANLANDS LÄN</t>
        </is>
      </c>
      <c r="E155" t="inlineStr">
        <is>
          <t>STRÄNGNÄS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4320-2023</t>
        </is>
      </c>
      <c r="B156" s="1" t="n">
        <v>44953</v>
      </c>
      <c r="C156" s="1" t="n">
        <v>46192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20167-2023</t>
        </is>
      </c>
      <c r="B157" s="1" t="n">
        <v>45051</v>
      </c>
      <c r="C157" s="1" t="n">
        <v>46192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12619-2025</t>
        </is>
      </c>
      <c r="B158" s="1" t="n">
        <v>45733</v>
      </c>
      <c r="C158" s="1" t="n">
        <v>46192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48827-2023</t>
        </is>
      </c>
      <c r="B159" s="1" t="n">
        <v>45204</v>
      </c>
      <c r="C159" s="1" t="n">
        <v>46192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10350-2023</t>
        </is>
      </c>
      <c r="B160" s="1" t="n">
        <v>44987</v>
      </c>
      <c r="C160" s="1" t="n">
        <v>46192</v>
      </c>
      <c r="D160" t="inlineStr">
        <is>
          <t>SÖDERMANLANDS LÄN</t>
        </is>
      </c>
      <c r="E160" t="inlineStr">
        <is>
          <t>STRÄNGNÄS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60749-2021</t>
        </is>
      </c>
      <c r="B161" s="1" t="n">
        <v>44496</v>
      </c>
      <c r="C161" s="1" t="n">
        <v>46192</v>
      </c>
      <c r="D161" t="inlineStr">
        <is>
          <t>SÖDERMANLANDS LÄN</t>
        </is>
      </c>
      <c r="E161" t="inlineStr">
        <is>
          <t>STRÄNGNÄS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37429-2021</t>
        </is>
      </c>
      <c r="B162" s="1" t="n">
        <v>44398</v>
      </c>
      <c r="C162" s="1" t="n">
        <v>46192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37431-2021</t>
        </is>
      </c>
      <c r="B163" s="1" t="n">
        <v>44398</v>
      </c>
      <c r="C163" s="1" t="n">
        <v>46192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3824-2024</t>
        </is>
      </c>
      <c r="B164" s="1" t="n">
        <v>45321</v>
      </c>
      <c r="C164" s="1" t="n">
        <v>46192</v>
      </c>
      <c r="D164" t="inlineStr">
        <is>
          <t>SÖDERMANLANDS LÄN</t>
        </is>
      </c>
      <c r="E164" t="inlineStr">
        <is>
          <t>STRÄNGNÄS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61124-2025</t>
        </is>
      </c>
      <c r="B165" s="1" t="n">
        <v>46000</v>
      </c>
      <c r="C165" s="1" t="n">
        <v>46192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65161-2023</t>
        </is>
      </c>
      <c r="B166" s="1" t="n">
        <v>45288</v>
      </c>
      <c r="C166" s="1" t="n">
        <v>46192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51763-2022</t>
        </is>
      </c>
      <c r="B167" s="1" t="n">
        <v>44872</v>
      </c>
      <c r="C167" s="1" t="n">
        <v>46192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22530-2023</t>
        </is>
      </c>
      <c r="B168" s="1" t="n">
        <v>45071</v>
      </c>
      <c r="C168" s="1" t="n">
        <v>46192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41231-2025</t>
        </is>
      </c>
      <c r="B169" s="1" t="n">
        <v>45898</v>
      </c>
      <c r="C169" s="1" t="n">
        <v>46192</v>
      </c>
      <c r="D169" t="inlineStr">
        <is>
          <t>SÖDERMANLANDS LÄN</t>
        </is>
      </c>
      <c r="E169" t="inlineStr">
        <is>
          <t>STRÄNGNÄS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20506-2022</t>
        </is>
      </c>
      <c r="B170" s="1" t="n">
        <v>44699</v>
      </c>
      <c r="C170" s="1" t="n">
        <v>46192</v>
      </c>
      <c r="D170" t="inlineStr">
        <is>
          <t>SÖDERMANLANDS LÄN</t>
        </is>
      </c>
      <c r="E170" t="inlineStr">
        <is>
          <t>STRÄNGNÄS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17066-2022</t>
        </is>
      </c>
      <c r="B171" s="1" t="n">
        <v>44676</v>
      </c>
      <c r="C171" s="1" t="n">
        <v>46192</v>
      </c>
      <c r="D171" t="inlineStr">
        <is>
          <t>SÖDERMANLANDS LÄN</t>
        </is>
      </c>
      <c r="E171" t="inlineStr">
        <is>
          <t>STRÄNGNÄS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62988-2025</t>
        </is>
      </c>
      <c r="B172" s="1" t="n">
        <v>46009</v>
      </c>
      <c r="C172" s="1" t="n">
        <v>46192</v>
      </c>
      <c r="D172" t="inlineStr">
        <is>
          <t>SÖDERMANLANDS LÄN</t>
        </is>
      </c>
      <c r="E172" t="inlineStr">
        <is>
          <t>STRÄNGNÄS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42476-2022</t>
        </is>
      </c>
      <c r="B173" s="1" t="n">
        <v>44831</v>
      </c>
      <c r="C173" s="1" t="n">
        <v>46192</v>
      </c>
      <c r="D173" t="inlineStr">
        <is>
          <t>SÖDERMANLANDS LÄN</t>
        </is>
      </c>
      <c r="E173" t="inlineStr">
        <is>
          <t>STRÄNGNÄS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42503-2022</t>
        </is>
      </c>
      <c r="B174" s="1" t="n">
        <v>44831</v>
      </c>
      <c r="C174" s="1" t="n">
        <v>46192</v>
      </c>
      <c r="D174" t="inlineStr">
        <is>
          <t>SÖDERMANLANDS LÄN</t>
        </is>
      </c>
      <c r="E174" t="inlineStr">
        <is>
          <t>STRÄNGNÄS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888-2023</t>
        </is>
      </c>
      <c r="B175" s="1" t="n">
        <v>44931</v>
      </c>
      <c r="C175" s="1" t="n">
        <v>46192</v>
      </c>
      <c r="D175" t="inlineStr">
        <is>
          <t>SÖDERMANLANDS LÄN</t>
        </is>
      </c>
      <c r="E175" t="inlineStr">
        <is>
          <t>STRÄNGNÄS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9704-2022</t>
        </is>
      </c>
      <c r="B176" s="1" t="n">
        <v>44617</v>
      </c>
      <c r="C176" s="1" t="n">
        <v>46192</v>
      </c>
      <c r="D176" t="inlineStr">
        <is>
          <t>SÖDERMANLANDS LÄN</t>
        </is>
      </c>
      <c r="E176" t="inlineStr">
        <is>
          <t>STRÄNGNÄS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5805-2022</t>
        </is>
      </c>
      <c r="B177" s="1" t="n">
        <v>44596</v>
      </c>
      <c r="C177" s="1" t="n">
        <v>46192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41234-2025</t>
        </is>
      </c>
      <c r="B178" s="1" t="n">
        <v>45898</v>
      </c>
      <c r="C178" s="1" t="n">
        <v>46192</v>
      </c>
      <c r="D178" t="inlineStr">
        <is>
          <t>SÖDERMANLANDS LÄN</t>
        </is>
      </c>
      <c r="E178" t="inlineStr">
        <is>
          <t>STRÄNGNÄS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41241-2022</t>
        </is>
      </c>
      <c r="B179" s="1" t="n">
        <v>44826</v>
      </c>
      <c r="C179" s="1" t="n">
        <v>46192</v>
      </c>
      <c r="D179" t="inlineStr">
        <is>
          <t>SÖDERMANLANDS LÄN</t>
        </is>
      </c>
      <c r="E179" t="inlineStr">
        <is>
          <t>STRÄNGNÄS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3185-2022</t>
        </is>
      </c>
      <c r="B180" s="1" t="n">
        <v>44582</v>
      </c>
      <c r="C180" s="1" t="n">
        <v>46192</v>
      </c>
      <c r="D180" t="inlineStr">
        <is>
          <t>SÖDERMANLANDS LÄN</t>
        </is>
      </c>
      <c r="E180" t="inlineStr">
        <is>
          <t>STRÄNGNÄS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1251-2023</t>
        </is>
      </c>
      <c r="B181" s="1" t="n">
        <v>44936</v>
      </c>
      <c r="C181" s="1" t="n">
        <v>46192</v>
      </c>
      <c r="D181" t="inlineStr">
        <is>
          <t>SÖDERMANLANDS LÄN</t>
        </is>
      </c>
      <c r="E181" t="inlineStr">
        <is>
          <t>STRÄNGNÄS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1209-2026</t>
        </is>
      </c>
      <c r="B182" s="1" t="n">
        <v>46031</v>
      </c>
      <c r="C182" s="1" t="n">
        <v>46192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9232-2023</t>
        </is>
      </c>
      <c r="B183" s="1" t="n">
        <v>44980</v>
      </c>
      <c r="C183" s="1" t="n">
        <v>46192</v>
      </c>
      <c r="D183" t="inlineStr">
        <is>
          <t>SÖDERMANLANDS LÄN</t>
        </is>
      </c>
      <c r="E183" t="inlineStr">
        <is>
          <t>STRÄNGNÄS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1108-2026</t>
        </is>
      </c>
      <c r="B184" s="1" t="n">
        <v>46030</v>
      </c>
      <c r="C184" s="1" t="n">
        <v>46192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866-2023</t>
        </is>
      </c>
      <c r="B185" s="1" t="n">
        <v>44931</v>
      </c>
      <c r="C185" s="1" t="n">
        <v>46192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58092-2023</t>
        </is>
      </c>
      <c r="B186" s="1" t="n">
        <v>45248</v>
      </c>
      <c r="C186" s="1" t="n">
        <v>46192</v>
      </c>
      <c r="D186" t="inlineStr">
        <is>
          <t>SÖDERMANLANDS LÄN</t>
        </is>
      </c>
      <c r="E186" t="inlineStr">
        <is>
          <t>STRÄNGNÄS</t>
        </is>
      </c>
      <c r="G186" t="n">
        <v>28.5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1313-2026</t>
        </is>
      </c>
      <c r="B187" s="1" t="n">
        <v>46031</v>
      </c>
      <c r="C187" s="1" t="n">
        <v>46192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1018-2026</t>
        </is>
      </c>
      <c r="B188" s="1" t="n">
        <v>46030</v>
      </c>
      <c r="C188" s="1" t="n">
        <v>46192</v>
      </c>
      <c r="D188" t="inlineStr">
        <is>
          <t>SÖDERMANLANDS LÄN</t>
        </is>
      </c>
      <c r="E188" t="inlineStr">
        <is>
          <t>STRÄNGNÄS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54598-2022</t>
        </is>
      </c>
      <c r="B189" s="1" t="n">
        <v>44881</v>
      </c>
      <c r="C189" s="1" t="n">
        <v>46192</v>
      </c>
      <c r="D189" t="inlineStr">
        <is>
          <t>SÖDERMANLANDS LÄN</t>
        </is>
      </c>
      <c r="E189" t="inlineStr">
        <is>
          <t>STRÄNGNÄS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1680-2026</t>
        </is>
      </c>
      <c r="B190" s="1" t="n">
        <v>46034</v>
      </c>
      <c r="C190" s="1" t="n">
        <v>46192</v>
      </c>
      <c r="D190" t="inlineStr">
        <is>
          <t>SÖDERMANLANDS LÄN</t>
        </is>
      </c>
      <c r="E190" t="inlineStr">
        <is>
          <t>STRÄNGNÄS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1718-2026</t>
        </is>
      </c>
      <c r="B191" s="1" t="n">
        <v>46034</v>
      </c>
      <c r="C191" s="1" t="n">
        <v>46192</v>
      </c>
      <c r="D191" t="inlineStr">
        <is>
          <t>SÖDERMANLANDS LÄN</t>
        </is>
      </c>
      <c r="E191" t="inlineStr">
        <is>
          <t>STRÄNGNÄS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1892-2026</t>
        </is>
      </c>
      <c r="B192" s="1" t="n">
        <v>46035</v>
      </c>
      <c r="C192" s="1" t="n">
        <v>46192</v>
      </c>
      <c r="D192" t="inlineStr">
        <is>
          <t>SÖDERMANLANDS LÄN</t>
        </is>
      </c>
      <c r="E192" t="inlineStr">
        <is>
          <t>STRÄNGNÄS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1511-2026</t>
        </is>
      </c>
      <c r="B193" s="1" t="n">
        <v>46034</v>
      </c>
      <c r="C193" s="1" t="n">
        <v>46192</v>
      </c>
      <c r="D193" t="inlineStr">
        <is>
          <t>SÖDERMANLANDS LÄN</t>
        </is>
      </c>
      <c r="E193" t="inlineStr">
        <is>
          <t>STRÄNGNÄS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1553-2026</t>
        </is>
      </c>
      <c r="B194" s="1" t="n">
        <v>46034</v>
      </c>
      <c r="C194" s="1" t="n">
        <v>46192</v>
      </c>
      <c r="D194" t="inlineStr">
        <is>
          <t>SÖDERMANLANDS LÄN</t>
        </is>
      </c>
      <c r="E194" t="inlineStr">
        <is>
          <t>STRÄNGNÄS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2007-2026</t>
        </is>
      </c>
      <c r="B195" s="1" t="n">
        <v>46035</v>
      </c>
      <c r="C195" s="1" t="n">
        <v>46192</v>
      </c>
      <c r="D195" t="inlineStr">
        <is>
          <t>SÖDERMANLANDS LÄN</t>
        </is>
      </c>
      <c r="E195" t="inlineStr">
        <is>
          <t>STRÄNGNÄS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23225-2023</t>
        </is>
      </c>
      <c r="B196" s="1" t="n">
        <v>45075</v>
      </c>
      <c r="C196" s="1" t="n">
        <v>46192</v>
      </c>
      <c r="D196" t="inlineStr">
        <is>
          <t>SÖDERMANLANDS LÄN</t>
        </is>
      </c>
      <c r="E196" t="inlineStr">
        <is>
          <t>STRÄNGNÄS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52452-2024</t>
        </is>
      </c>
      <c r="B197" s="1" t="n">
        <v>45609</v>
      </c>
      <c r="C197" s="1" t="n">
        <v>46192</v>
      </c>
      <c r="D197" t="inlineStr">
        <is>
          <t>SÖDERMANLANDS LÄN</t>
        </is>
      </c>
      <c r="E197" t="inlineStr">
        <is>
          <t>STRÄNGNÄS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20181-2024</t>
        </is>
      </c>
      <c r="B198" s="1" t="n">
        <v>45434</v>
      </c>
      <c r="C198" s="1" t="n">
        <v>46192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1757-2026</t>
        </is>
      </c>
      <c r="B199" s="1" t="n">
        <v>46034</v>
      </c>
      <c r="C199" s="1" t="n">
        <v>46192</v>
      </c>
      <c r="D199" t="inlineStr">
        <is>
          <t>SÖDERMANLANDS LÄN</t>
        </is>
      </c>
      <c r="E199" t="inlineStr">
        <is>
          <t>STRÄNGNÄS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1624-2026</t>
        </is>
      </c>
      <c r="B200" s="1" t="n">
        <v>46034</v>
      </c>
      <c r="C200" s="1" t="n">
        <v>46192</v>
      </c>
      <c r="D200" t="inlineStr">
        <is>
          <t>SÖDERMANLANDS LÄN</t>
        </is>
      </c>
      <c r="E200" t="inlineStr">
        <is>
          <t>STRÄNGNÄS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1744-2026</t>
        </is>
      </c>
      <c r="B201" s="1" t="n">
        <v>46034</v>
      </c>
      <c r="C201" s="1" t="n">
        <v>46192</v>
      </c>
      <c r="D201" t="inlineStr">
        <is>
          <t>SÖDERMANLANDS LÄN</t>
        </is>
      </c>
      <c r="E201" t="inlineStr">
        <is>
          <t>STRÄNGNÄS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1660-2026</t>
        </is>
      </c>
      <c r="B202" s="1" t="n">
        <v>46034</v>
      </c>
      <c r="C202" s="1" t="n">
        <v>46192</v>
      </c>
      <c r="D202" t="inlineStr">
        <is>
          <t>SÖDERMANLANDS LÄN</t>
        </is>
      </c>
      <c r="E202" t="inlineStr">
        <is>
          <t>STRÄNGNÄS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1915-2026</t>
        </is>
      </c>
      <c r="B203" s="1" t="n">
        <v>46035</v>
      </c>
      <c r="C203" s="1" t="n">
        <v>46192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1496-2026</t>
        </is>
      </c>
      <c r="B204" s="1" t="n">
        <v>46034</v>
      </c>
      <c r="C204" s="1" t="n">
        <v>46192</v>
      </c>
      <c r="D204" t="inlineStr">
        <is>
          <t>SÖDERMANLANDS LÄN</t>
        </is>
      </c>
      <c r="E204" t="inlineStr">
        <is>
          <t>STRÄNGNÄS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12792-2024</t>
        </is>
      </c>
      <c r="B205" s="1" t="n">
        <v>45384</v>
      </c>
      <c r="C205" s="1" t="n">
        <v>46192</v>
      </c>
      <c r="D205" t="inlineStr">
        <is>
          <t>SÖDERMANLANDS LÄN</t>
        </is>
      </c>
      <c r="E205" t="inlineStr">
        <is>
          <t>STRÄNGNÄS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59304-2023</t>
        </is>
      </c>
      <c r="B206" s="1" t="n">
        <v>45253</v>
      </c>
      <c r="C206" s="1" t="n">
        <v>46192</v>
      </c>
      <c r="D206" t="inlineStr">
        <is>
          <t>SÖDERMANLANDS LÄN</t>
        </is>
      </c>
      <c r="E206" t="inlineStr">
        <is>
          <t>STRÄNGNÄS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2636-2026</t>
        </is>
      </c>
      <c r="B207" s="1" t="n">
        <v>46037</v>
      </c>
      <c r="C207" s="1" t="n">
        <v>46192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2368-2026</t>
        </is>
      </c>
      <c r="B208" s="1" t="n">
        <v>46036</v>
      </c>
      <c r="C208" s="1" t="n">
        <v>46192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2256-2026</t>
        </is>
      </c>
      <c r="B209" s="1" t="n">
        <v>46036</v>
      </c>
      <c r="C209" s="1" t="n">
        <v>46192</v>
      </c>
      <c r="D209" t="inlineStr">
        <is>
          <t>SÖDERMANLANDS LÄN</t>
        </is>
      </c>
      <c r="E209" t="inlineStr">
        <is>
          <t>STRÄNGNÄS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2328-2026</t>
        </is>
      </c>
      <c r="B210" s="1" t="n">
        <v>46036</v>
      </c>
      <c r="C210" s="1" t="n">
        <v>46192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43669-2022</t>
        </is>
      </c>
      <c r="B211" s="1" t="n">
        <v>44834</v>
      </c>
      <c r="C211" s="1" t="n">
        <v>46192</v>
      </c>
      <c r="D211" t="inlineStr">
        <is>
          <t>SÖDERMANLANDS LÄN</t>
        </is>
      </c>
      <c r="E211" t="inlineStr">
        <is>
          <t>STRÄNGNÄS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42117-2022</t>
        </is>
      </c>
      <c r="B212" s="1" t="n">
        <v>44830</v>
      </c>
      <c r="C212" s="1" t="n">
        <v>46192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2268-2026</t>
        </is>
      </c>
      <c r="B213" s="1" t="n">
        <v>46036</v>
      </c>
      <c r="C213" s="1" t="n">
        <v>46192</v>
      </c>
      <c r="D213" t="inlineStr">
        <is>
          <t>SÖDERMANLANDS LÄN</t>
        </is>
      </c>
      <c r="E213" t="inlineStr">
        <is>
          <t>STRÄNGNÄS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2302-2026</t>
        </is>
      </c>
      <c r="B214" s="1" t="n">
        <v>46036</v>
      </c>
      <c r="C214" s="1" t="n">
        <v>46192</v>
      </c>
      <c r="D214" t="inlineStr">
        <is>
          <t>SÖDERMANLANDS LÄN</t>
        </is>
      </c>
      <c r="E214" t="inlineStr">
        <is>
          <t>STRÄNGNÄS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60747-2021</t>
        </is>
      </c>
      <c r="B215" s="1" t="n">
        <v>44496</v>
      </c>
      <c r="C215" s="1" t="n">
        <v>46192</v>
      </c>
      <c r="D215" t="inlineStr">
        <is>
          <t>SÖDERMANLANDS LÄN</t>
        </is>
      </c>
      <c r="E215" t="inlineStr">
        <is>
          <t>STRÄNGNÄS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56914-2022</t>
        </is>
      </c>
      <c r="B216" s="1" t="n">
        <v>44894</v>
      </c>
      <c r="C216" s="1" t="n">
        <v>46192</v>
      </c>
      <c r="D216" t="inlineStr">
        <is>
          <t>SÖDERMANLANDS LÄN</t>
        </is>
      </c>
      <c r="E216" t="inlineStr">
        <is>
          <t>STRÄNGNÄS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3127-2026</t>
        </is>
      </c>
      <c r="B217" s="1" t="n">
        <v>46041</v>
      </c>
      <c r="C217" s="1" t="n">
        <v>46192</v>
      </c>
      <c r="D217" t="inlineStr">
        <is>
          <t>SÖDERMANLANDS LÄN</t>
        </is>
      </c>
      <c r="E217" t="inlineStr">
        <is>
          <t>STRÄNGNÄS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3207-2026</t>
        </is>
      </c>
      <c r="B218" s="1" t="n">
        <v>46041</v>
      </c>
      <c r="C218" s="1" t="n">
        <v>46192</v>
      </c>
      <c r="D218" t="inlineStr">
        <is>
          <t>SÖDERMANLANDS LÄN</t>
        </is>
      </c>
      <c r="E218" t="inlineStr">
        <is>
          <t>STRÄNGNÄS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33343-2023</t>
        </is>
      </c>
      <c r="B219" s="1" t="n">
        <v>45128</v>
      </c>
      <c r="C219" s="1" t="n">
        <v>46192</v>
      </c>
      <c r="D219" t="inlineStr">
        <is>
          <t>SÖDERMANLANDS LÄN</t>
        </is>
      </c>
      <c r="E219" t="inlineStr">
        <is>
          <t>STRÄNGNÄS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71414-2021</t>
        </is>
      </c>
      <c r="B220" s="1" t="n">
        <v>44540</v>
      </c>
      <c r="C220" s="1" t="n">
        <v>46192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61567-2024</t>
        </is>
      </c>
      <c r="B221" s="1" t="n">
        <v>45646</v>
      </c>
      <c r="C221" s="1" t="n">
        <v>46192</v>
      </c>
      <c r="D221" t="inlineStr">
        <is>
          <t>SÖDERMANLANDS LÄN</t>
        </is>
      </c>
      <c r="E221" t="inlineStr">
        <is>
          <t>STRÄNGNÄS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25542-2023</t>
        </is>
      </c>
      <c r="B222" s="1" t="n">
        <v>45089</v>
      </c>
      <c r="C222" s="1" t="n">
        <v>46192</v>
      </c>
      <c r="D222" t="inlineStr">
        <is>
          <t>SÖDERMANLANDS LÄN</t>
        </is>
      </c>
      <c r="E222" t="inlineStr">
        <is>
          <t>STRÄNGNÄS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57484-2025</t>
        </is>
      </c>
      <c r="B223" s="1" t="n">
        <v>45980</v>
      </c>
      <c r="C223" s="1" t="n">
        <v>46192</v>
      </c>
      <c r="D223" t="inlineStr">
        <is>
          <t>SÖDERMANLANDS LÄN</t>
        </is>
      </c>
      <c r="E223" t="inlineStr">
        <is>
          <t>STRÄNGNÄS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4151-2026</t>
        </is>
      </c>
      <c r="B224" s="1" t="n">
        <v>46044</v>
      </c>
      <c r="C224" s="1" t="n">
        <v>46192</v>
      </c>
      <c r="D224" t="inlineStr">
        <is>
          <t>SÖDERMANLANDS LÄN</t>
        </is>
      </c>
      <c r="E224" t="inlineStr">
        <is>
          <t>STRÄNGNÄS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22459-2022</t>
        </is>
      </c>
      <c r="B225" s="1" t="n">
        <v>44713</v>
      </c>
      <c r="C225" s="1" t="n">
        <v>46192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44618-2023</t>
        </is>
      </c>
      <c r="B226" s="1" t="n">
        <v>45189</v>
      </c>
      <c r="C226" s="1" t="n">
        <v>46192</v>
      </c>
      <c r="D226" t="inlineStr">
        <is>
          <t>SÖDERMANLANDS LÄN</t>
        </is>
      </c>
      <c r="E226" t="inlineStr">
        <is>
          <t>STRÄNGNÄS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4112-2026</t>
        </is>
      </c>
      <c r="B227" s="1" t="n">
        <v>46044</v>
      </c>
      <c r="C227" s="1" t="n">
        <v>46192</v>
      </c>
      <c r="D227" t="inlineStr">
        <is>
          <t>SÖDERMANLANDS LÄN</t>
        </is>
      </c>
      <c r="E227" t="inlineStr">
        <is>
          <t>STRÄNGNÄS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3971-2026</t>
        </is>
      </c>
      <c r="B228" s="1" t="n">
        <v>46044</v>
      </c>
      <c r="C228" s="1" t="n">
        <v>46192</v>
      </c>
      <c r="D228" t="inlineStr">
        <is>
          <t>SÖDERMANLANDS LÄN</t>
        </is>
      </c>
      <c r="E228" t="inlineStr">
        <is>
          <t>STRÄNGNÄS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15193-2023</t>
        </is>
      </c>
      <c r="B229" s="1" t="n">
        <v>45016</v>
      </c>
      <c r="C229" s="1" t="n">
        <v>46192</v>
      </c>
      <c r="D229" t="inlineStr">
        <is>
          <t>SÖDERMANLANDS LÄN</t>
        </is>
      </c>
      <c r="E229" t="inlineStr">
        <is>
          <t>STRÄNGNÄS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20815-2023</t>
        </is>
      </c>
      <c r="B230" s="1" t="n">
        <v>45058</v>
      </c>
      <c r="C230" s="1" t="n">
        <v>46192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21015-2023</t>
        </is>
      </c>
      <c r="B231" s="1" t="n">
        <v>45056</v>
      </c>
      <c r="C231" s="1" t="n">
        <v>46192</v>
      </c>
      <c r="D231" t="inlineStr">
        <is>
          <t>SÖDERMANLANDS LÄN</t>
        </is>
      </c>
      <c r="E231" t="inlineStr">
        <is>
          <t>STRÄNGNÄS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1977-2026</t>
        </is>
      </c>
      <c r="B232" s="1" t="n">
        <v>46035</v>
      </c>
      <c r="C232" s="1" t="n">
        <v>46192</v>
      </c>
      <c r="D232" t="inlineStr">
        <is>
          <t>SÖDERMANLANDS LÄN</t>
        </is>
      </c>
      <c r="E232" t="inlineStr">
        <is>
          <t>STRÄNGNÄS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3759-2025</t>
        </is>
      </c>
      <c r="B233" s="1" t="n">
        <v>45681</v>
      </c>
      <c r="C233" s="1" t="n">
        <v>46192</v>
      </c>
      <c r="D233" t="inlineStr">
        <is>
          <t>SÖDERMANLANDS LÄN</t>
        </is>
      </c>
      <c r="E233" t="inlineStr">
        <is>
          <t>STRÄNGNÄS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3761-2025</t>
        </is>
      </c>
      <c r="B234" s="1" t="n">
        <v>45681</v>
      </c>
      <c r="C234" s="1" t="n">
        <v>46192</v>
      </c>
      <c r="D234" t="inlineStr">
        <is>
          <t>SÖDERMANLANDS LÄN</t>
        </is>
      </c>
      <c r="E234" t="inlineStr">
        <is>
          <t>STRÄNGNÄS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6057-2025</t>
        </is>
      </c>
      <c r="B235" s="1" t="n">
        <v>45695</v>
      </c>
      <c r="C235" s="1" t="n">
        <v>46192</v>
      </c>
      <c r="D235" t="inlineStr">
        <is>
          <t>SÖDERMANLANDS LÄN</t>
        </is>
      </c>
      <c r="E235" t="inlineStr">
        <is>
          <t>STRÄNGNÄS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8493-2022</t>
        </is>
      </c>
      <c r="B236" s="1" t="n">
        <v>44613</v>
      </c>
      <c r="C236" s="1" t="n">
        <v>46192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71391-2021</t>
        </is>
      </c>
      <c r="B237" s="1" t="n">
        <v>44540</v>
      </c>
      <c r="C237" s="1" t="n">
        <v>46192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58238-2022</t>
        </is>
      </c>
      <c r="B238" s="1" t="n">
        <v>44901</v>
      </c>
      <c r="C238" s="1" t="n">
        <v>46192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11690-2023</t>
        </is>
      </c>
      <c r="B239" s="1" t="n">
        <v>44992</v>
      </c>
      <c r="C239" s="1" t="n">
        <v>46192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11281-2025</t>
        </is>
      </c>
      <c r="B240" s="1" t="n">
        <v>45726</v>
      </c>
      <c r="C240" s="1" t="n">
        <v>46192</v>
      </c>
      <c r="D240" t="inlineStr">
        <is>
          <t>SÖDERMANLANDS LÄN</t>
        </is>
      </c>
      <c r="E240" t="inlineStr">
        <is>
          <t>STRÄNGNÄS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42777-2023</t>
        </is>
      </c>
      <c r="B241" s="1" t="n">
        <v>45177</v>
      </c>
      <c r="C241" s="1" t="n">
        <v>46192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33342-2023</t>
        </is>
      </c>
      <c r="B242" s="1" t="n">
        <v>45128</v>
      </c>
      <c r="C242" s="1" t="n">
        <v>46192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41503-2022</t>
        </is>
      </c>
      <c r="B243" s="1" t="n">
        <v>44827</v>
      </c>
      <c r="C243" s="1" t="n">
        <v>46192</v>
      </c>
      <c r="D243" t="inlineStr">
        <is>
          <t>SÖDERMANLANDS LÄN</t>
        </is>
      </c>
      <c r="E243" t="inlineStr">
        <is>
          <t>STRÄNGNÄS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9511-2022</t>
        </is>
      </c>
      <c r="B244" s="1" t="n">
        <v>44616</v>
      </c>
      <c r="C244" s="1" t="n">
        <v>46192</v>
      </c>
      <c r="D244" t="inlineStr">
        <is>
          <t>SÖDERMANLANDS LÄN</t>
        </is>
      </c>
      <c r="E244" t="inlineStr">
        <is>
          <t>STRÄNGNÄS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54383-2022</t>
        </is>
      </c>
      <c r="B245" s="1" t="n">
        <v>44882</v>
      </c>
      <c r="C245" s="1" t="n">
        <v>46192</v>
      </c>
      <c r="D245" t="inlineStr">
        <is>
          <t>SÖDERMANLANDS LÄN</t>
        </is>
      </c>
      <c r="E245" t="inlineStr">
        <is>
          <t>STRÄNGNÄS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1305-2023</t>
        </is>
      </c>
      <c r="B246" s="1" t="n">
        <v>44936</v>
      </c>
      <c r="C246" s="1" t="n">
        <v>46192</v>
      </c>
      <c r="D246" t="inlineStr">
        <is>
          <t>SÖDERMANLANDS LÄN</t>
        </is>
      </c>
      <c r="E246" t="inlineStr">
        <is>
          <t>STRÄNGNÄS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3733-2026</t>
        </is>
      </c>
      <c r="B247" s="1" t="n">
        <v>46043</v>
      </c>
      <c r="C247" s="1" t="n">
        <v>46192</v>
      </c>
      <c r="D247" t="inlineStr">
        <is>
          <t>SÖDERMANLANDS LÄN</t>
        </is>
      </c>
      <c r="E247" t="inlineStr">
        <is>
          <t>STRÄNGNÄS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15572-2024</t>
        </is>
      </c>
      <c r="B248" s="1" t="n">
        <v>45401</v>
      </c>
      <c r="C248" s="1" t="n">
        <v>46192</v>
      </c>
      <c r="D248" t="inlineStr">
        <is>
          <t>SÖDERMANLANDS LÄN</t>
        </is>
      </c>
      <c r="E248" t="inlineStr">
        <is>
          <t>STRÄNGNÄS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9942-2026</t>
        </is>
      </c>
      <c r="B249" s="1" t="n">
        <v>46073</v>
      </c>
      <c r="C249" s="1" t="n">
        <v>46192</v>
      </c>
      <c r="D249" t="inlineStr">
        <is>
          <t>SÖDERMANLANDS LÄN</t>
        </is>
      </c>
      <c r="E249" t="inlineStr">
        <is>
          <t>STRÄNGNÄS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28104-2025</t>
        </is>
      </c>
      <c r="B250" s="1" t="n">
        <v>45817</v>
      </c>
      <c r="C250" s="1" t="n">
        <v>46192</v>
      </c>
      <c r="D250" t="inlineStr">
        <is>
          <t>SÖDERMANLANDS LÄN</t>
        </is>
      </c>
      <c r="E250" t="inlineStr">
        <is>
          <t>STRÄNGNÄS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10543-2026</t>
        </is>
      </c>
      <c r="B251" s="1" t="n">
        <v>46077</v>
      </c>
      <c r="C251" s="1" t="n">
        <v>46192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10121-2026</t>
        </is>
      </c>
      <c r="B252" s="1" t="n">
        <v>46075</v>
      </c>
      <c r="C252" s="1" t="n">
        <v>46192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22522-2023</t>
        </is>
      </c>
      <c r="B253" s="1" t="n">
        <v>45071</v>
      </c>
      <c r="C253" s="1" t="n">
        <v>46192</v>
      </c>
      <c r="D253" t="inlineStr">
        <is>
          <t>SÖDERMANLANDS LÄN</t>
        </is>
      </c>
      <c r="E253" t="inlineStr">
        <is>
          <t>STRÄNGNÄS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20754-2025</t>
        </is>
      </c>
      <c r="B254" s="1" t="n">
        <v>45776</v>
      </c>
      <c r="C254" s="1" t="n">
        <v>46192</v>
      </c>
      <c r="D254" t="inlineStr">
        <is>
          <t>SÖDERMANLANDS LÄN</t>
        </is>
      </c>
      <c r="E254" t="inlineStr">
        <is>
          <t>STRÄNGNÄS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10770-2026</t>
        </is>
      </c>
      <c r="B255" s="1" t="n">
        <v>46078</v>
      </c>
      <c r="C255" s="1" t="n">
        <v>46192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15397-2022</t>
        </is>
      </c>
      <c r="B256" s="1" t="n">
        <v>44659</v>
      </c>
      <c r="C256" s="1" t="n">
        <v>46192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13259-2022</t>
        </is>
      </c>
      <c r="B257" s="1" t="n">
        <v>44644</v>
      </c>
      <c r="C257" s="1" t="n">
        <v>46192</v>
      </c>
      <c r="D257" t="inlineStr">
        <is>
          <t>SÖDERMANLANDS LÄN</t>
        </is>
      </c>
      <c r="E257" t="inlineStr">
        <is>
          <t>STRÄNGNÄS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12818-2023</t>
        </is>
      </c>
      <c r="B258" s="1" t="n">
        <v>45001</v>
      </c>
      <c r="C258" s="1" t="n">
        <v>46192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3118-2023</t>
        </is>
      </c>
      <c r="B259" s="1" t="n">
        <v>44946</v>
      </c>
      <c r="C259" s="1" t="n">
        <v>46192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23001-2023</t>
        </is>
      </c>
      <c r="B260" s="1" t="n">
        <v>45072</v>
      </c>
      <c r="C260" s="1" t="n">
        <v>46192</v>
      </c>
      <c r="D260" t="inlineStr">
        <is>
          <t>SÖDERMANLANDS LÄN</t>
        </is>
      </c>
      <c r="E260" t="inlineStr">
        <is>
          <t>STRÄNGNÄS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36811-2022</t>
        </is>
      </c>
      <c r="B261" s="1" t="n">
        <v>44805</v>
      </c>
      <c r="C261" s="1" t="n">
        <v>46192</v>
      </c>
      <c r="D261" t="inlineStr">
        <is>
          <t>SÖDERMANLANDS LÄN</t>
        </is>
      </c>
      <c r="E261" t="inlineStr">
        <is>
          <t>STRÄNGNÄS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12343-2026</t>
        </is>
      </c>
      <c r="B262" s="1" t="n">
        <v>46087</v>
      </c>
      <c r="C262" s="1" t="n">
        <v>46192</v>
      </c>
      <c r="D262" t="inlineStr">
        <is>
          <t>SÖDERMANLANDS LÄN</t>
        </is>
      </c>
      <c r="E262" t="inlineStr">
        <is>
          <t>STRÄNGNÄS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34391-2024</t>
        </is>
      </c>
      <c r="B263" s="1" t="n">
        <v>45525</v>
      </c>
      <c r="C263" s="1" t="n">
        <v>46192</v>
      </c>
      <c r="D263" t="inlineStr">
        <is>
          <t>SÖDERMANLANDS LÄN</t>
        </is>
      </c>
      <c r="E263" t="inlineStr">
        <is>
          <t>STRÄNGNÄS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9397-2026</t>
        </is>
      </c>
      <c r="B264" s="1" t="n">
        <v>46070</v>
      </c>
      <c r="C264" s="1" t="n">
        <v>46192</v>
      </c>
      <c r="D264" t="inlineStr">
        <is>
          <t>SÖDERMANLANDS LÄN</t>
        </is>
      </c>
      <c r="E264" t="inlineStr">
        <is>
          <t>STRÄNGNÄS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48875-2023</t>
        </is>
      </c>
      <c r="B265" s="1" t="n">
        <v>45204</v>
      </c>
      <c r="C265" s="1" t="n">
        <v>46192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13613-2023</t>
        </is>
      </c>
      <c r="B266" s="1" t="n">
        <v>45006</v>
      </c>
      <c r="C266" s="1" t="n">
        <v>46192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65153-2023</t>
        </is>
      </c>
      <c r="B267" s="1" t="n">
        <v>45288</v>
      </c>
      <c r="C267" s="1" t="n">
        <v>46192</v>
      </c>
      <c r="D267" t="inlineStr">
        <is>
          <t>SÖDERMANLANDS LÄN</t>
        </is>
      </c>
      <c r="E267" t="inlineStr">
        <is>
          <t>STRÄNGNÄS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52998-2025</t>
        </is>
      </c>
      <c r="B268" s="1" t="n">
        <v>45957</v>
      </c>
      <c r="C268" s="1" t="n">
        <v>46192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59294-2025</t>
        </is>
      </c>
      <c r="B269" s="1" t="n">
        <v>45988</v>
      </c>
      <c r="C269" s="1" t="n">
        <v>46192</v>
      </c>
      <c r="D269" t="inlineStr">
        <is>
          <t>SÖDERMANLANDS LÄN</t>
        </is>
      </c>
      <c r="E269" t="inlineStr">
        <is>
          <t>STRÄNGNÄS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35495-2023</t>
        </is>
      </c>
      <c r="B270" s="1" t="n">
        <v>45146</v>
      </c>
      <c r="C270" s="1" t="n">
        <v>46192</v>
      </c>
      <c r="D270" t="inlineStr">
        <is>
          <t>SÖDERMANLANDS LÄN</t>
        </is>
      </c>
      <c r="E270" t="inlineStr">
        <is>
          <t>STRÄNGNÄS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34364-2023</t>
        </is>
      </c>
      <c r="B271" s="1" t="n">
        <v>45131</v>
      </c>
      <c r="C271" s="1" t="n">
        <v>46192</v>
      </c>
      <c r="D271" t="inlineStr">
        <is>
          <t>SÖDERMANLANDS LÄN</t>
        </is>
      </c>
      <c r="E271" t="inlineStr">
        <is>
          <t>STRÄNGNÄS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57231-2024</t>
        </is>
      </c>
      <c r="B272" s="1" t="n">
        <v>45629</v>
      </c>
      <c r="C272" s="1" t="n">
        <v>46192</v>
      </c>
      <c r="D272" t="inlineStr">
        <is>
          <t>SÖDERMANLANDS LÄN</t>
        </is>
      </c>
      <c r="E272" t="inlineStr">
        <is>
          <t>STRÄNGNÄS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24823-2025</t>
        </is>
      </c>
      <c r="B273" s="1" t="n">
        <v>45799</v>
      </c>
      <c r="C273" s="1" t="n">
        <v>46192</v>
      </c>
      <c r="D273" t="inlineStr">
        <is>
          <t>SÖDERMANLANDS LÄN</t>
        </is>
      </c>
      <c r="E273" t="inlineStr">
        <is>
          <t>STRÄNGNÄS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18358-2024</t>
        </is>
      </c>
      <c r="B274" s="1" t="n">
        <v>45422</v>
      </c>
      <c r="C274" s="1" t="n">
        <v>46192</v>
      </c>
      <c r="D274" t="inlineStr">
        <is>
          <t>SÖDERMANLANDS LÄN</t>
        </is>
      </c>
      <c r="E274" t="inlineStr">
        <is>
          <t>STRÄNGNÄS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18242-2023</t>
        </is>
      </c>
      <c r="B275" s="1" t="n">
        <v>45041</v>
      </c>
      <c r="C275" s="1" t="n">
        <v>46192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5849-2023</t>
        </is>
      </c>
      <c r="B276" s="1" t="n">
        <v>44963</v>
      </c>
      <c r="C276" s="1" t="n">
        <v>46192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3121-2023</t>
        </is>
      </c>
      <c r="B277" s="1" t="n">
        <v>44946</v>
      </c>
      <c r="C277" s="1" t="n">
        <v>46192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5458-2025</t>
        </is>
      </c>
      <c r="B278" s="1" t="n">
        <v>45692</v>
      </c>
      <c r="C278" s="1" t="n">
        <v>46192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39448-2024</t>
        </is>
      </c>
      <c r="B279" s="1" t="n">
        <v>45551</v>
      </c>
      <c r="C279" s="1" t="n">
        <v>46192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15087-2025</t>
        </is>
      </c>
      <c r="B280" s="1" t="n">
        <v>45743</v>
      </c>
      <c r="C280" s="1" t="n">
        <v>46192</v>
      </c>
      <c r="D280" t="inlineStr">
        <is>
          <t>SÖDERMANLANDS LÄN</t>
        </is>
      </c>
      <c r="E280" t="inlineStr">
        <is>
          <t>STRÄNGNÄS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1256-2023</t>
        </is>
      </c>
      <c r="B281" s="1" t="n">
        <v>44936</v>
      </c>
      <c r="C281" s="1" t="n">
        <v>46192</v>
      </c>
      <c r="D281" t="inlineStr">
        <is>
          <t>SÖDERMANLANDS LÄN</t>
        </is>
      </c>
      <c r="E281" t="inlineStr">
        <is>
          <t>STRÄNGNÄS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9034-2023</t>
        </is>
      </c>
      <c r="B282" s="1" t="n">
        <v>44979</v>
      </c>
      <c r="C282" s="1" t="n">
        <v>46192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44479-2023</t>
        </is>
      </c>
      <c r="B283" s="1" t="n">
        <v>45189</v>
      </c>
      <c r="C283" s="1" t="n">
        <v>46192</v>
      </c>
      <c r="D283" t="inlineStr">
        <is>
          <t>SÖDERMANLANDS LÄN</t>
        </is>
      </c>
      <c r="E283" t="inlineStr">
        <is>
          <t>STRÄNGNÄS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57048-2021</t>
        </is>
      </c>
      <c r="B284" s="1" t="n">
        <v>44481</v>
      </c>
      <c r="C284" s="1" t="n">
        <v>46192</v>
      </c>
      <c r="D284" t="inlineStr">
        <is>
          <t>SÖDERMANLANDS LÄN</t>
        </is>
      </c>
      <c r="E284" t="inlineStr">
        <is>
          <t>STRÄNGNÄS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30622-2025</t>
        </is>
      </c>
      <c r="B285" s="1" t="n">
        <v>45831</v>
      </c>
      <c r="C285" s="1" t="n">
        <v>46192</v>
      </c>
      <c r="D285" t="inlineStr">
        <is>
          <t>SÖDERMANLANDS LÄN</t>
        </is>
      </c>
      <c r="E285" t="inlineStr">
        <is>
          <t>STRÄNGNÄS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10352-2023</t>
        </is>
      </c>
      <c r="B286" s="1" t="n">
        <v>44987</v>
      </c>
      <c r="C286" s="1" t="n">
        <v>46192</v>
      </c>
      <c r="D286" t="inlineStr">
        <is>
          <t>SÖDERMANLANDS LÄN</t>
        </is>
      </c>
      <c r="E286" t="inlineStr">
        <is>
          <t>STRÄNGNÄS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48886-2023</t>
        </is>
      </c>
      <c r="B287" s="1" t="n">
        <v>45209</v>
      </c>
      <c r="C287" s="1" t="n">
        <v>46192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24980-2025</t>
        </is>
      </c>
      <c r="B288" s="1" t="n">
        <v>45799</v>
      </c>
      <c r="C288" s="1" t="n">
        <v>46192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3773-2025</t>
        </is>
      </c>
      <c r="B289" s="1" t="n">
        <v>45681</v>
      </c>
      <c r="C289" s="1" t="n">
        <v>46192</v>
      </c>
      <c r="D289" t="inlineStr">
        <is>
          <t>SÖDERMANLANDS LÄN</t>
        </is>
      </c>
      <c r="E289" t="inlineStr">
        <is>
          <t>STRÄNGNÄS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32627-2025</t>
        </is>
      </c>
      <c r="B290" s="1" t="n">
        <v>45838</v>
      </c>
      <c r="C290" s="1" t="n">
        <v>46192</v>
      </c>
      <c r="D290" t="inlineStr">
        <is>
          <t>SÖDERMANLANDS LÄN</t>
        </is>
      </c>
      <c r="E290" t="inlineStr">
        <is>
          <t>STRÄNGNÄS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23995-2026</t>
        </is>
      </c>
      <c r="B291" s="1" t="n">
        <v>46167</v>
      </c>
      <c r="C291" s="1" t="n">
        <v>46192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23961-2026</t>
        </is>
      </c>
      <c r="B292" s="1" t="n">
        <v>46167</v>
      </c>
      <c r="C292" s="1" t="n">
        <v>46192</v>
      </c>
      <c r="D292" t="inlineStr">
        <is>
          <t>SÖDERMANLANDS LÄN</t>
        </is>
      </c>
      <c r="E292" t="inlineStr">
        <is>
          <t>STRÄNGNÄS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52773-2023</t>
        </is>
      </c>
      <c r="B293" s="1" t="n">
        <v>45219</v>
      </c>
      <c r="C293" s="1" t="n">
        <v>46192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52840-2023</t>
        </is>
      </c>
      <c r="B294" s="1" t="n">
        <v>45226</v>
      </c>
      <c r="C294" s="1" t="n">
        <v>46192</v>
      </c>
      <c r="D294" t="inlineStr">
        <is>
          <t>SÖDERMANLANDS LÄN</t>
        </is>
      </c>
      <c r="E294" t="inlineStr">
        <is>
          <t>STRÄNGNÄS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18971-2026</t>
        </is>
      </c>
      <c r="B295" s="1" t="n">
        <v>46129</v>
      </c>
      <c r="C295" s="1" t="n">
        <v>46192</v>
      </c>
      <c r="D295" t="inlineStr">
        <is>
          <t>SÖDERMANLANDS LÄN</t>
        </is>
      </c>
      <c r="E295" t="inlineStr">
        <is>
          <t>STRÄNGNÄS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48823-2023</t>
        </is>
      </c>
      <c r="B296" s="1" t="n">
        <v>45209</v>
      </c>
      <c r="C296" s="1" t="n">
        <v>46192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18965-2026</t>
        </is>
      </c>
      <c r="B297" s="1" t="n">
        <v>46129</v>
      </c>
      <c r="C297" s="1" t="n">
        <v>46192</v>
      </c>
      <c r="D297" t="inlineStr">
        <is>
          <t>SÖDERMANLANDS LÄN</t>
        </is>
      </c>
      <c r="E297" t="inlineStr">
        <is>
          <t>STRÄNGNÄS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18904-2026</t>
        </is>
      </c>
      <c r="B298" s="1" t="n">
        <v>46129</v>
      </c>
      <c r="C298" s="1" t="n">
        <v>46192</v>
      </c>
      <c r="D298" t="inlineStr">
        <is>
          <t>SÖDERMANLANDS LÄN</t>
        </is>
      </c>
      <c r="E298" t="inlineStr">
        <is>
          <t>STRÄNGNÄS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34401-2024</t>
        </is>
      </c>
      <c r="B299" s="1" t="n">
        <v>45525</v>
      </c>
      <c r="C299" s="1" t="n">
        <v>46192</v>
      </c>
      <c r="D299" t="inlineStr">
        <is>
          <t>SÖDERMANLANDS LÄN</t>
        </is>
      </c>
      <c r="E299" t="inlineStr">
        <is>
          <t>STRÄNGNÄS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18961-2026</t>
        </is>
      </c>
      <c r="B300" s="1" t="n">
        <v>46129</v>
      </c>
      <c r="C300" s="1" t="n">
        <v>46192</v>
      </c>
      <c r="D300" t="inlineStr">
        <is>
          <t>SÖDERMANLANDS LÄN</t>
        </is>
      </c>
      <c r="E300" t="inlineStr">
        <is>
          <t>STRÄNGNÄS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35370-2025</t>
        </is>
      </c>
      <c r="B301" s="1" t="n">
        <v>45854</v>
      </c>
      <c r="C301" s="1" t="n">
        <v>46192</v>
      </c>
      <c r="D301" t="inlineStr">
        <is>
          <t>SÖDERMANLANDS LÄN</t>
        </is>
      </c>
      <c r="E301" t="inlineStr">
        <is>
          <t>STRÄNGNÄS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24680-2026</t>
        </is>
      </c>
      <c r="B302" s="1" t="n">
        <v>46171</v>
      </c>
      <c r="C302" s="1" t="n">
        <v>46192</v>
      </c>
      <c r="D302" t="inlineStr">
        <is>
          <t>SÖDERMANLANDS LÄN</t>
        </is>
      </c>
      <c r="E302" t="inlineStr">
        <is>
          <t>STRÄNGNÄS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24691-2026</t>
        </is>
      </c>
      <c r="B303" s="1" t="n">
        <v>46171</v>
      </c>
      <c r="C303" s="1" t="n">
        <v>46192</v>
      </c>
      <c r="D303" t="inlineStr">
        <is>
          <t>SÖDERMANLANDS LÄN</t>
        </is>
      </c>
      <c r="E303" t="inlineStr">
        <is>
          <t>STRÄNGNÄS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30477-2024</t>
        </is>
      </c>
      <c r="B304" s="1" t="n">
        <v>45491</v>
      </c>
      <c r="C304" s="1" t="n">
        <v>46192</v>
      </c>
      <c r="D304" t="inlineStr">
        <is>
          <t>SÖDERMANLANDS LÄN</t>
        </is>
      </c>
      <c r="E304" t="inlineStr">
        <is>
          <t>STRÄNGNÄS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24694-2026</t>
        </is>
      </c>
      <c r="B305" s="1" t="n">
        <v>46171</v>
      </c>
      <c r="C305" s="1" t="n">
        <v>46192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36440-2025</t>
        </is>
      </c>
      <c r="B306" s="1" t="n">
        <v>45869</v>
      </c>
      <c r="C306" s="1" t="n">
        <v>46192</v>
      </c>
      <c r="D306" t="inlineStr">
        <is>
          <t>SÖDERMANLANDS LÄN</t>
        </is>
      </c>
      <c r="E306" t="inlineStr">
        <is>
          <t>STRÄNGNÄS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25077-2026</t>
        </is>
      </c>
      <c r="B307" s="1" t="n">
        <v>46174</v>
      </c>
      <c r="C307" s="1" t="n">
        <v>46192</v>
      </c>
      <c r="D307" t="inlineStr">
        <is>
          <t>SÖDERMANLANDS LÄN</t>
        </is>
      </c>
      <c r="E307" t="inlineStr">
        <is>
          <t>STRÄNGNÄS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20938-2023</t>
        </is>
      </c>
      <c r="B308" s="1" t="n">
        <v>45061</v>
      </c>
      <c r="C308" s="1" t="n">
        <v>46192</v>
      </c>
      <c r="D308" t="inlineStr">
        <is>
          <t>SÖDERMANLANDS LÄN</t>
        </is>
      </c>
      <c r="E308" t="inlineStr">
        <is>
          <t>STRÄNGNÄS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66296-2021</t>
        </is>
      </c>
      <c r="B309" s="1" t="n">
        <v>44518</v>
      </c>
      <c r="C309" s="1" t="n">
        <v>46192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statliga verk och myndigheter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67925-2021</t>
        </is>
      </c>
      <c r="B310" s="1" t="n">
        <v>44525</v>
      </c>
      <c r="C310" s="1" t="n">
        <v>46192</v>
      </c>
      <c r="D310" t="inlineStr">
        <is>
          <t>SÖDERMANLANDS LÄN</t>
        </is>
      </c>
      <c r="E310" t="inlineStr">
        <is>
          <t>STRÄNGNÄS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4115-2025</t>
        </is>
      </c>
      <c r="B311" s="1" t="n">
        <v>45684</v>
      </c>
      <c r="C311" s="1" t="n">
        <v>46192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60764-2021</t>
        </is>
      </c>
      <c r="B312" s="1" t="n">
        <v>44496</v>
      </c>
      <c r="C312" s="1" t="n">
        <v>46192</v>
      </c>
      <c r="D312" t="inlineStr">
        <is>
          <t>SÖDERMANLANDS LÄN</t>
        </is>
      </c>
      <c r="E312" t="inlineStr">
        <is>
          <t>STRÄNGNÄS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33314-2021</t>
        </is>
      </c>
      <c r="B313" s="1" t="n">
        <v>44377</v>
      </c>
      <c r="C313" s="1" t="n">
        <v>46192</v>
      </c>
      <c r="D313" t="inlineStr">
        <is>
          <t>SÖDERMANLANDS LÄN</t>
        </is>
      </c>
      <c r="E313" t="inlineStr">
        <is>
          <t>STRÄNGNÄS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38198-2025</t>
        </is>
      </c>
      <c r="B314" s="1" t="n">
        <v>45882</v>
      </c>
      <c r="C314" s="1" t="n">
        <v>46192</v>
      </c>
      <c r="D314" t="inlineStr">
        <is>
          <t>SÖDERMANLANDS LÄN</t>
        </is>
      </c>
      <c r="E314" t="inlineStr">
        <is>
          <t>STRÄNGNÄS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3037-2022</t>
        </is>
      </c>
      <c r="B315" s="1" t="n">
        <v>44581</v>
      </c>
      <c r="C315" s="1" t="n">
        <v>46192</v>
      </c>
      <c r="D315" t="inlineStr">
        <is>
          <t>SÖDERMANLANDS LÄN</t>
        </is>
      </c>
      <c r="E315" t="inlineStr">
        <is>
          <t>STRÄNGNÄS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243-2023</t>
        </is>
      </c>
      <c r="B316" s="1" t="n">
        <v>44928</v>
      </c>
      <c r="C316" s="1" t="n">
        <v>46192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52904-2023</t>
        </is>
      </c>
      <c r="B317" s="1" t="n">
        <v>45226</v>
      </c>
      <c r="C317" s="1" t="n">
        <v>46192</v>
      </c>
      <c r="D317" t="inlineStr">
        <is>
          <t>SÖDERMANLANDS LÄN</t>
        </is>
      </c>
      <c r="E317" t="inlineStr">
        <is>
          <t>STRÄNGNÄS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16414-2022</t>
        </is>
      </c>
      <c r="B318" s="1" t="n">
        <v>44671</v>
      </c>
      <c r="C318" s="1" t="n">
        <v>46192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Övriga Aktiebolag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23541-2023</t>
        </is>
      </c>
      <c r="B319" s="1" t="n">
        <v>45077</v>
      </c>
      <c r="C319" s="1" t="n">
        <v>46192</v>
      </c>
      <c r="D319" t="inlineStr">
        <is>
          <t>SÖDERMANLANDS LÄN</t>
        </is>
      </c>
      <c r="E319" t="inlineStr">
        <is>
          <t>STRÄNGNÄS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33321-2021</t>
        </is>
      </c>
      <c r="B320" s="1" t="n">
        <v>44377</v>
      </c>
      <c r="C320" s="1" t="n">
        <v>46192</v>
      </c>
      <c r="D320" t="inlineStr">
        <is>
          <t>SÖDERMANLANDS LÄN</t>
        </is>
      </c>
      <c r="E320" t="inlineStr">
        <is>
          <t>STRÄNGNÄS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32079-2024</t>
        </is>
      </c>
      <c r="B321" s="1" t="n">
        <v>45511</v>
      </c>
      <c r="C321" s="1" t="n">
        <v>46192</v>
      </c>
      <c r="D321" t="inlineStr">
        <is>
          <t>SÖDERMANLANDS LÄN</t>
        </is>
      </c>
      <c r="E321" t="inlineStr">
        <is>
          <t>STRÄNGNÄS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42750-2023</t>
        </is>
      </c>
      <c r="B322" s="1" t="n">
        <v>45177</v>
      </c>
      <c r="C322" s="1" t="n">
        <v>46192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Övriga statliga verk och myndigheter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56984-2024</t>
        </is>
      </c>
      <c r="B323" s="1" t="n">
        <v>45628</v>
      </c>
      <c r="C323" s="1" t="n">
        <v>46192</v>
      </c>
      <c r="D323" t="inlineStr">
        <is>
          <t>SÖDERMANLANDS LÄN</t>
        </is>
      </c>
      <c r="E323" t="inlineStr">
        <is>
          <t>STRÄNGNÄS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18860-2023</t>
        </is>
      </c>
      <c r="B324" s="1" t="n">
        <v>45044</v>
      </c>
      <c r="C324" s="1" t="n">
        <v>46192</v>
      </c>
      <c r="D324" t="inlineStr">
        <is>
          <t>SÖDERMANLANDS LÄN</t>
        </is>
      </c>
      <c r="E324" t="inlineStr">
        <is>
          <t>STRÄNGNÄS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18865-2023</t>
        </is>
      </c>
      <c r="B325" s="1" t="n">
        <v>45044</v>
      </c>
      <c r="C325" s="1" t="n">
        <v>46192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56989-2024</t>
        </is>
      </c>
      <c r="B326" s="1" t="n">
        <v>45628</v>
      </c>
      <c r="C326" s="1" t="n">
        <v>46192</v>
      </c>
      <c r="D326" t="inlineStr">
        <is>
          <t>SÖDERMANLANDS LÄN</t>
        </is>
      </c>
      <c r="E326" t="inlineStr">
        <is>
          <t>STRÄNGNÄS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55054-2023</t>
        </is>
      </c>
      <c r="B327" s="1" t="n">
        <v>45237</v>
      </c>
      <c r="C327" s="1" t="n">
        <v>46192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56988-2024</t>
        </is>
      </c>
      <c r="B328" s="1" t="n">
        <v>45628</v>
      </c>
      <c r="C328" s="1" t="n">
        <v>46192</v>
      </c>
      <c r="D328" t="inlineStr">
        <is>
          <t>SÖDERMANLANDS LÄN</t>
        </is>
      </c>
      <c r="E328" t="inlineStr">
        <is>
          <t>STRÄNGNÄS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20187-2026</t>
        </is>
      </c>
      <c r="B329" s="1" t="n">
        <v>46139</v>
      </c>
      <c r="C329" s="1" t="n">
        <v>46192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40605-2025</t>
        </is>
      </c>
      <c r="B330" s="1" t="n">
        <v>45896</v>
      </c>
      <c r="C330" s="1" t="n">
        <v>46192</v>
      </c>
      <c r="D330" t="inlineStr">
        <is>
          <t>SÖDERMANLANDS LÄN</t>
        </is>
      </c>
      <c r="E330" t="inlineStr">
        <is>
          <t>STRÄNGNÄS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27680-2026</t>
        </is>
      </c>
      <c r="B331" s="1" t="n">
        <v>46188</v>
      </c>
      <c r="C331" s="1" t="n">
        <v>46192</v>
      </c>
      <c r="D331" t="inlineStr">
        <is>
          <t>SÖDERMANLANDS LÄN</t>
        </is>
      </c>
      <c r="E331" t="inlineStr">
        <is>
          <t>STRÄNGNÄS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62746-2025</t>
        </is>
      </c>
      <c r="B332" s="1" t="n">
        <v>46008</v>
      </c>
      <c r="C332" s="1" t="n">
        <v>46192</v>
      </c>
      <c r="D332" t="inlineStr">
        <is>
          <t>SÖDERMANLANDS LÄN</t>
        </is>
      </c>
      <c r="E332" t="inlineStr">
        <is>
          <t>STRÄNGNÄS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27677-2026</t>
        </is>
      </c>
      <c r="B333" s="1" t="n">
        <v>46188</v>
      </c>
      <c r="C333" s="1" t="n">
        <v>46192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2026-06-19T00:46:59Z</dcterms:created>
  <dcterms:modified xmlns:dcterms="http://purl.org/dc/terms/" xmlns:xsi="http://www.w3.org/2001/XMLSchema-instance" xsi:type="dcterms:W3CDTF">2026-06-19T00:46:59Z</dcterms:modified>
</cp:coreProperties>
</file>