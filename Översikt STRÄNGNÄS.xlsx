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45839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45839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45839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11569-2024</t>
        </is>
      </c>
      <c r="B5" s="1" t="n">
        <v>45373</v>
      </c>
      <c r="C5" s="1" t="n">
        <v>45839</v>
      </c>
      <c r="D5" t="inlineStr">
        <is>
          <t>SÖDERMANLANDS LÄN</t>
        </is>
      </c>
      <c r="E5" t="inlineStr">
        <is>
          <t>STRÄNGNÄS</t>
        </is>
      </c>
      <c r="G5" t="n">
        <v>6.5</v>
      </c>
      <c r="H5" t="n">
        <v>8</v>
      </c>
      <c r="I5" t="n">
        <v>4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Knärot
Motaggsvamp
Spillkråka
Tallticka
Blåmossa
Granbarkgnagare
Mindre märgborre
Spindelblomster
Grönsiska
Kungsfågel
Fläcknycklar
Mattlummer
Revlummer</t>
        </is>
      </c>
      <c r="S5">
        <f>HYPERLINK("https://klasma.github.io/Logging_0486/artfynd/A 11569-2024 artfynd.xlsx", "A 11569-2024")</f>
        <v/>
      </c>
      <c r="T5">
        <f>HYPERLINK("https://klasma.github.io/Logging_0486/kartor/A 11569-2024 karta.png", "A 11569-2024")</f>
        <v/>
      </c>
      <c r="U5">
        <f>HYPERLINK("https://klasma.github.io/Logging_0486/knärot/A 11569-2024 karta knärot.png", "A 11569-2024")</f>
        <v/>
      </c>
      <c r="V5">
        <f>HYPERLINK("https://klasma.github.io/Logging_0486/klagomål/A 11569-2024 FSC-klagomål.docx", "A 11569-2024")</f>
        <v/>
      </c>
      <c r="W5">
        <f>HYPERLINK("https://klasma.github.io/Logging_0486/klagomålsmail/A 11569-2024 FSC-klagomål mail.docx", "A 11569-2024")</f>
        <v/>
      </c>
      <c r="X5">
        <f>HYPERLINK("https://klasma.github.io/Logging_0486/tillsyn/A 11569-2024 tillsynsbegäran.docx", "A 11569-2024")</f>
        <v/>
      </c>
      <c r="Y5">
        <f>HYPERLINK("https://klasma.github.io/Logging_0486/tillsynsmail/A 11569-2024 tillsynsbegäran mail.docx", "A 11569-2024")</f>
        <v/>
      </c>
      <c r="Z5">
        <f>HYPERLINK("https://klasma.github.io/Logging_0486/fåglar/A 11569-2024 prioriterade fågelarter.docx", "A 11569-2024")</f>
        <v/>
      </c>
    </row>
    <row r="6" ht="15" customHeight="1">
      <c r="A6" t="inlineStr">
        <is>
          <t>A 11565-2024</t>
        </is>
      </c>
      <c r="B6" s="1" t="n">
        <v>45373</v>
      </c>
      <c r="C6" s="1" t="n">
        <v>45839</v>
      </c>
      <c r="D6" t="inlineStr">
        <is>
          <t>SÖDERMANLANDS LÄN</t>
        </is>
      </c>
      <c r="E6" t="inlineStr">
        <is>
          <t>STRÄNGNÄS</t>
        </is>
      </c>
      <c r="G6" t="n">
        <v>6.3</v>
      </c>
      <c r="H6" t="n">
        <v>5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Motaggsvamp
Nordfladdermus
Orange taggsvamp
Spillkråka
Blomkålssvamp
Blåmossa
Grönpyrola
Mindre märgborre
Nattskärra
Revlummer</t>
        </is>
      </c>
      <c r="S6">
        <f>HYPERLINK("https://klasma.github.io/Logging_0486/artfynd/A 11565-2024 artfynd.xlsx", "A 11565-2024")</f>
        <v/>
      </c>
      <c r="T6">
        <f>HYPERLINK("https://klasma.github.io/Logging_0486/kartor/A 11565-2024 karta.png", "A 11565-2024")</f>
        <v/>
      </c>
      <c r="U6">
        <f>HYPERLINK("https://klasma.github.io/Logging_0486/knärot/A 11565-2024 karta knärot.png", "A 11565-2024")</f>
        <v/>
      </c>
      <c r="V6">
        <f>HYPERLINK("https://klasma.github.io/Logging_0486/klagomål/A 11565-2024 FSC-klagomål.docx", "A 11565-2024")</f>
        <v/>
      </c>
      <c r="W6">
        <f>HYPERLINK("https://klasma.github.io/Logging_0486/klagomålsmail/A 11565-2024 FSC-klagomål mail.docx", "A 11565-2024")</f>
        <v/>
      </c>
      <c r="X6">
        <f>HYPERLINK("https://klasma.github.io/Logging_0486/tillsyn/A 11565-2024 tillsynsbegäran.docx", "A 11565-2024")</f>
        <v/>
      </c>
      <c r="Y6">
        <f>HYPERLINK("https://klasma.github.io/Logging_0486/tillsynsmail/A 11565-2024 tillsynsbegäran mail.docx", "A 11565-2024")</f>
        <v/>
      </c>
      <c r="Z6">
        <f>HYPERLINK("https://klasma.github.io/Logging_0486/fåglar/A 11565-2024 prioriterade fågelarter.docx", "A 11565-2024")</f>
        <v/>
      </c>
    </row>
    <row r="7" ht="15" customHeight="1">
      <c r="A7" t="inlineStr">
        <is>
          <t>A 38251-2023</t>
        </is>
      </c>
      <c r="B7" s="1" t="n">
        <v>45160</v>
      </c>
      <c r="C7" s="1" t="n">
        <v>45839</v>
      </c>
      <c r="D7" t="inlineStr">
        <is>
          <t>SÖDERMANLANDS LÄN</t>
        </is>
      </c>
      <c r="E7" t="inlineStr">
        <is>
          <t>STRÄNGNÄS</t>
        </is>
      </c>
      <c r="G7" t="n">
        <v>14.7</v>
      </c>
      <c r="H7" t="n">
        <v>3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10</v>
      </c>
      <c r="R7" s="2" t="inlineStr">
        <is>
          <t>Vågticka
Spillkråka
Talltita
Brandticka
Bronshjon
Fransig jordstjärna
Hasselticka
Mindre märgborre
Trådticka
Blåsippa</t>
        </is>
      </c>
      <c r="S7">
        <f>HYPERLINK("https://klasma.github.io/Logging_0486/artfynd/A 38251-2023 artfynd.xlsx", "A 38251-2023")</f>
        <v/>
      </c>
      <c r="T7">
        <f>HYPERLINK("https://klasma.github.io/Logging_0486/kartor/A 38251-2023 karta.png", "A 38251-2023")</f>
        <v/>
      </c>
      <c r="V7">
        <f>HYPERLINK("https://klasma.github.io/Logging_0486/klagomål/A 38251-2023 FSC-klagomål.docx", "A 38251-2023")</f>
        <v/>
      </c>
      <c r="W7">
        <f>HYPERLINK("https://klasma.github.io/Logging_0486/klagomålsmail/A 38251-2023 FSC-klagomål mail.docx", "A 38251-2023")</f>
        <v/>
      </c>
      <c r="X7">
        <f>HYPERLINK("https://klasma.github.io/Logging_0486/tillsyn/A 38251-2023 tillsynsbegäran.docx", "A 38251-2023")</f>
        <v/>
      </c>
      <c r="Y7">
        <f>HYPERLINK("https://klasma.github.io/Logging_0486/tillsynsmail/A 38251-2023 tillsynsbegäran mail.docx", "A 38251-2023")</f>
        <v/>
      </c>
      <c r="Z7">
        <f>HYPERLINK("https://klasma.github.io/Logging_0486/fåglar/A 38251-2023 prioriterade fågelarter.docx", "A 38251-2023")</f>
        <v/>
      </c>
    </row>
    <row r="8" ht="15" customHeight="1">
      <c r="A8" t="inlineStr">
        <is>
          <t>A 42577-2023</t>
        </is>
      </c>
      <c r="B8" s="1" t="n">
        <v>45181</v>
      </c>
      <c r="C8" s="1" t="n">
        <v>45839</v>
      </c>
      <c r="D8" t="inlineStr">
        <is>
          <t>SÖDERMANLANDS LÄN</t>
        </is>
      </c>
      <c r="E8" t="inlineStr">
        <is>
          <t>STRÄNGNÄS</t>
        </is>
      </c>
      <c r="G8" t="n">
        <v>4.9</v>
      </c>
      <c r="H8" t="n">
        <v>9</v>
      </c>
      <c r="I8" t="n">
        <v>0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Entita
Grönsångare
Mindre hackspett
Spillkråka
Svartvit flugsnappare
Talltita
Bivråk
Orre
Tjäder</t>
        </is>
      </c>
      <c r="S8">
        <f>HYPERLINK("https://klasma.github.io/Logging_0486/artfynd/A 42577-2023 artfynd.xlsx", "A 42577-2023")</f>
        <v/>
      </c>
      <c r="T8">
        <f>HYPERLINK("https://klasma.github.io/Logging_0486/kartor/A 42577-2023 karta.png", "A 42577-2023")</f>
        <v/>
      </c>
      <c r="V8">
        <f>HYPERLINK("https://klasma.github.io/Logging_0486/klagomål/A 42577-2023 FSC-klagomål.docx", "A 42577-2023")</f>
        <v/>
      </c>
      <c r="W8">
        <f>HYPERLINK("https://klasma.github.io/Logging_0486/klagomålsmail/A 42577-2023 FSC-klagomål mail.docx", "A 42577-2023")</f>
        <v/>
      </c>
      <c r="X8">
        <f>HYPERLINK("https://klasma.github.io/Logging_0486/tillsyn/A 42577-2023 tillsynsbegäran.docx", "A 42577-2023")</f>
        <v/>
      </c>
      <c r="Y8">
        <f>HYPERLINK("https://klasma.github.io/Logging_0486/tillsynsmail/A 42577-2023 tillsynsbegäran mail.docx", "A 42577-2023")</f>
        <v/>
      </c>
      <c r="Z8">
        <f>HYPERLINK("https://klasma.github.io/Logging_0486/fåglar/A 42577-2023 prioriterade fågelarter.docx", "A 42577-2023")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45839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Spetsvaxing
Toppvaxing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45839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45839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45839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45839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45839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45839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45839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45839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45839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45839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45839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45839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45839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45839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45839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45839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45839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45839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45839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45839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45839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45839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45839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45839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45839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45839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45839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45839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45839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45839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45839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45839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45839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45839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45839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45839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45839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45839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45839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45839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45839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45839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45839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45839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45839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45839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45839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45839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45839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45839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45839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45839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45839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45839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45839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45839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45839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45839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45839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45839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45839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45839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45839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45839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45839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45839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45839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45839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45839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45839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45839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45839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45839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45839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45839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45839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45839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45839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45839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45839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45839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45839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45839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45839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45839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45839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45839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45839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45839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45839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45839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45839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45839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45839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45839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45839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45839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45839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45839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45839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45839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45839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45839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45839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45839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45839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45839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45839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45839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45839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45839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45839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45839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45839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45839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45839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45839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45839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45839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45839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45839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45839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45839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45839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45839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45839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45839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45839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45839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45839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45839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45839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45839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45839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45839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45839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45839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45839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45839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45839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45839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45839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45839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45839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45839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45839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45839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45839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45839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45839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45839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45839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45839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45839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45839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45839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45839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45839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45839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45839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45839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45839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45839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45839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45839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45839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45839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45839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45839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45839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45839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45839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45839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45839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45839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45839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45839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45839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45839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45839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45839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45839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45839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45839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45839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45839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45839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45839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45839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45839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45839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45839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45839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45839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45839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45839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45839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45839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45839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45839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45839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45839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45839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45839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45839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45839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45839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45839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45839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45839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45839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45839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45839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45839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45839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45839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45839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45839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45839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45839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45839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45839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45839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45839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45839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45839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45839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45839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45839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45839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45839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45839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45839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45839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45839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45839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45839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45839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45839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45839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45839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45839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45839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45839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45839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45839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45839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45839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45839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45839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45839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45839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45839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45839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45839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45839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45839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45839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45839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45839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45839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45839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45839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45839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45839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45839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45839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45839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45839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45839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45839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45839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45839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45839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45839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45839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45839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45839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45839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45839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45839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45839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45839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45839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45839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45839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45839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45839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45839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45839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45839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45839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45839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45839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45839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45839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45839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45839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45839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45839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45839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45839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45839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45839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45839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45839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45839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45839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45839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45839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45839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45839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45839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45839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45839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45839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45839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45839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45839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45839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45839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45839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45839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45839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45839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45839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45839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45839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45839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45839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45839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45839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45839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45839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45839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45839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45839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45839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45839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45839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45839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45839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45839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45839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45839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45839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45839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45839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45839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45839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45839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45839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45839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45839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45839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45839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45839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45839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45839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45839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45839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45839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45839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45839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45839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45839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45839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45839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45839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45839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45839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45839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45839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45839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45839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45839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45839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45839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45839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45839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45839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45839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45839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45839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45839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45839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45839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45839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45839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45839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45839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45839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45839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45839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45839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45839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45839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45839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45839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45839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45839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45839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45839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45839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45839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45839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45839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45839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45839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45839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45839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45839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45839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45839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45839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45839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45839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45839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45839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45839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45839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45839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45839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45839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45839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45839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45839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45839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45839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45839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45839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45839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45839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45839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45839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45839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45839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45839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45839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45839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45839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45839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45839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45839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45839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45839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45839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45839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45839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45839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45839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45839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45839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45839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45839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45839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45839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45839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45839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45839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45839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45839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45839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45839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45839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45839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45839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45839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45839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45839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45839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45839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45839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45839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45839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45839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45839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45839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45839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45839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45839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45839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45839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45839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45839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45839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45839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45839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45839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45839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45839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45839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45839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45839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45839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45839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45839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45839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45839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45839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45839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45839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45839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45839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45839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45839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45839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45839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45839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45839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45839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45839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45839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45839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45839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45839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45839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45839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45839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45839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45839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45839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45839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45839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45839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45839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45839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45839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45839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45839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45839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45839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45839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45839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45839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45839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45839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45839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45839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45839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45839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45839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45839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45839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45839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45839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45839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45839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45839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45839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45839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45839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45839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45839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45839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45839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45839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45839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45839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45839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45839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45839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45839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45839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45839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45839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45839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45839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45839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45839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45839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45839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45839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45839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45839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45839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45839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45839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45839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45839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45839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45839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45839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45839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45839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45839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45839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45839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45839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45839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45839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45839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45839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45839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45839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45839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45839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45839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45839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45839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45839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45839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45839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45839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45839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45839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45839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45839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45839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45839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45839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45839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45839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45839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45839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45839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45839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45839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45839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45839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45839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45839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45839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45839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45839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11281-2025</t>
        </is>
      </c>
      <c r="B635" s="1" t="n">
        <v>45726</v>
      </c>
      <c r="C635" s="1" t="n">
        <v>45839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12546-2025</t>
        </is>
      </c>
      <c r="B636" s="1" t="n">
        <v>45730</v>
      </c>
      <c r="C636" s="1" t="n">
        <v>45839</v>
      </c>
      <c r="D636" t="inlineStr">
        <is>
          <t>SÖDERMANLANDS LÄN</t>
        </is>
      </c>
      <c r="E636" t="inlineStr">
        <is>
          <t>STRÄNGNÄS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12619-2025</t>
        </is>
      </c>
      <c r="B637" s="1" t="n">
        <v>45733</v>
      </c>
      <c r="C637" s="1" t="n">
        <v>45839</v>
      </c>
      <c r="D637" t="inlineStr">
        <is>
          <t>SÖDERMANLANDS LÄN</t>
        </is>
      </c>
      <c r="E637" t="inlineStr">
        <is>
          <t>STRÄNGNÄS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12615-2025</t>
        </is>
      </c>
      <c r="B638" s="1" t="n">
        <v>45733</v>
      </c>
      <c r="C638" s="1" t="n">
        <v>45839</v>
      </c>
      <c r="D638" t="inlineStr">
        <is>
          <t>SÖDERMANLANDS LÄN</t>
        </is>
      </c>
      <c r="E638" t="inlineStr">
        <is>
          <t>STRÄNGNÄS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12631-2025</t>
        </is>
      </c>
      <c r="B639" s="1" t="n">
        <v>45733</v>
      </c>
      <c r="C639" s="1" t="n">
        <v>45839</v>
      </c>
      <c r="D639" t="inlineStr">
        <is>
          <t>SÖDERMANLANDS LÄN</t>
        </is>
      </c>
      <c r="E639" t="inlineStr">
        <is>
          <t>STRÄNGNÄS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14793-2025</t>
        </is>
      </c>
      <c r="B640" s="1" t="n">
        <v>45742</v>
      </c>
      <c r="C640" s="1" t="n">
        <v>45839</v>
      </c>
      <c r="D640" t="inlineStr">
        <is>
          <t>SÖDERMANLANDS LÄN</t>
        </is>
      </c>
      <c r="E640" t="inlineStr">
        <is>
          <t>STRÄNGNÄS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15087-2025</t>
        </is>
      </c>
      <c r="B641" s="1" t="n">
        <v>45743</v>
      </c>
      <c r="C641" s="1" t="n">
        <v>45839</v>
      </c>
      <c r="D641" t="inlineStr">
        <is>
          <t>SÖDERMANLANDS LÄN</t>
        </is>
      </c>
      <c r="E641" t="inlineStr">
        <is>
          <t>STRÄNGNÄS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17249-2025</t>
        </is>
      </c>
      <c r="B642" s="1" t="n">
        <v>45756</v>
      </c>
      <c r="C642" s="1" t="n">
        <v>45839</v>
      </c>
      <c r="D642" t="inlineStr">
        <is>
          <t>SÖDERMANLANDS LÄN</t>
        </is>
      </c>
      <c r="E642" t="inlineStr">
        <is>
          <t>STRÄNGNÄS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20590-2025</t>
        </is>
      </c>
      <c r="B643" s="1" t="n">
        <v>45775</v>
      </c>
      <c r="C643" s="1" t="n">
        <v>45839</v>
      </c>
      <c r="D643" t="inlineStr">
        <is>
          <t>SÖDERMANLANDS LÄN</t>
        </is>
      </c>
      <c r="E643" t="inlineStr">
        <is>
          <t>STRÄNGNÄS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20754-2025</t>
        </is>
      </c>
      <c r="B644" s="1" t="n">
        <v>45776</v>
      </c>
      <c r="C644" s="1" t="n">
        <v>45839</v>
      </c>
      <c r="D644" t="inlineStr">
        <is>
          <t>SÖDERMANLANDS LÄN</t>
        </is>
      </c>
      <c r="E644" t="inlineStr">
        <is>
          <t>STRÄNGNÄS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21288-2025</t>
        </is>
      </c>
      <c r="B645" s="1" t="n">
        <v>45779</v>
      </c>
      <c r="C645" s="1" t="n">
        <v>45839</v>
      </c>
      <c r="D645" t="inlineStr">
        <is>
          <t>SÖDERMANLANDS LÄN</t>
        </is>
      </c>
      <c r="E645" t="inlineStr">
        <is>
          <t>STRÄNGNÄS</t>
        </is>
      </c>
      <c r="G645" t="n">
        <v>11.9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24980-2025</t>
        </is>
      </c>
      <c r="B646" s="1" t="n">
        <v>45799</v>
      </c>
      <c r="C646" s="1" t="n">
        <v>45839</v>
      </c>
      <c r="D646" t="inlineStr">
        <is>
          <t>SÖDERMANLANDS LÄN</t>
        </is>
      </c>
      <c r="E646" t="inlineStr">
        <is>
          <t>STRÄNGNÄS</t>
        </is>
      </c>
      <c r="F646" t="inlineStr">
        <is>
          <t>Övriga Aktiebolag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24823-2025</t>
        </is>
      </c>
      <c r="B647" s="1" t="n">
        <v>45799</v>
      </c>
      <c r="C647" s="1" t="n">
        <v>45839</v>
      </c>
      <c r="D647" t="inlineStr">
        <is>
          <t>SÖDERMANLANDS LÄN</t>
        </is>
      </c>
      <c r="E647" t="inlineStr">
        <is>
          <t>STRÄNGNÄS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25685-2025</t>
        </is>
      </c>
      <c r="B648" s="1" t="n">
        <v>45803</v>
      </c>
      <c r="C648" s="1" t="n">
        <v>45839</v>
      </c>
      <c r="D648" t="inlineStr">
        <is>
          <t>SÖDERMANLANDS LÄN</t>
        </is>
      </c>
      <c r="E648" t="inlineStr">
        <is>
          <t>STRÄNGNÄS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25729-2025</t>
        </is>
      </c>
      <c r="B649" s="1" t="n">
        <v>45803</v>
      </c>
      <c r="C649" s="1" t="n">
        <v>45839</v>
      </c>
      <c r="D649" t="inlineStr">
        <is>
          <t>SÖDERMANLANDS LÄN</t>
        </is>
      </c>
      <c r="E649" t="inlineStr">
        <is>
          <t>STRÄNGNÄS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28104-2025</t>
        </is>
      </c>
      <c r="B650" s="1" t="n">
        <v>45817</v>
      </c>
      <c r="C650" s="1" t="n">
        <v>45839</v>
      </c>
      <c r="D650" t="inlineStr">
        <is>
          <t>SÖDERMANLANDS LÄN</t>
        </is>
      </c>
      <c r="E650" t="inlineStr">
        <is>
          <t>STRÄNGNÄS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28107-2025</t>
        </is>
      </c>
      <c r="B651" s="1" t="n">
        <v>45817</v>
      </c>
      <c r="C651" s="1" t="n">
        <v>45839</v>
      </c>
      <c r="D651" t="inlineStr">
        <is>
          <t>SÖDERMANLANDS LÄN</t>
        </is>
      </c>
      <c r="E651" t="inlineStr">
        <is>
          <t>STRÄNGNÄS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28250-2025</t>
        </is>
      </c>
      <c r="B652" s="1" t="n">
        <v>45817</v>
      </c>
      <c r="C652" s="1" t="n">
        <v>45839</v>
      </c>
      <c r="D652" t="inlineStr">
        <is>
          <t>SÖDERMANLANDS LÄN</t>
        </is>
      </c>
      <c r="E652" t="inlineStr">
        <is>
          <t>STRÄNGNÄS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28300-2025</t>
        </is>
      </c>
      <c r="B653" s="1" t="n">
        <v>45817</v>
      </c>
      <c r="C653" s="1" t="n">
        <v>45839</v>
      </c>
      <c r="D653" t="inlineStr">
        <is>
          <t>SÖDERMANLANDS LÄN</t>
        </is>
      </c>
      <c r="E653" t="inlineStr">
        <is>
          <t>STRÄNGNÄS</t>
        </is>
      </c>
      <c r="G653" t="n">
        <v>6.7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28259-2025</t>
        </is>
      </c>
      <c r="B654" s="1" t="n">
        <v>45817</v>
      </c>
      <c r="C654" s="1" t="n">
        <v>45839</v>
      </c>
      <c r="D654" t="inlineStr">
        <is>
          <t>SÖDERMANLANDS LÄN</t>
        </is>
      </c>
      <c r="E654" t="inlineStr">
        <is>
          <t>STRÄNGNÄS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28046-2025</t>
        </is>
      </c>
      <c r="B655" s="1" t="n">
        <v>45817</v>
      </c>
      <c r="C655" s="1" t="n">
        <v>45839</v>
      </c>
      <c r="D655" t="inlineStr">
        <is>
          <t>SÖDERMANLANDS LÄN</t>
        </is>
      </c>
      <c r="E655" t="inlineStr">
        <is>
          <t>STRÄNGNÄS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28253-2025</t>
        </is>
      </c>
      <c r="B656" s="1" t="n">
        <v>45817</v>
      </c>
      <c r="C656" s="1" t="n">
        <v>45839</v>
      </c>
      <c r="D656" t="inlineStr">
        <is>
          <t>SÖDERMANLANDS LÄN</t>
        </is>
      </c>
      <c r="E656" t="inlineStr">
        <is>
          <t>STRÄNGNÄS</t>
        </is>
      </c>
      <c r="G656" t="n">
        <v>7.6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28273-2025</t>
        </is>
      </c>
      <c r="B657" s="1" t="n">
        <v>45817</v>
      </c>
      <c r="C657" s="1" t="n">
        <v>45839</v>
      </c>
      <c r="D657" t="inlineStr">
        <is>
          <t>SÖDERMANLANDS LÄN</t>
        </is>
      </c>
      <c r="E657" t="inlineStr">
        <is>
          <t>STRÄNGNÄS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28291-2025</t>
        </is>
      </c>
      <c r="B658" s="1" t="n">
        <v>45817</v>
      </c>
      <c r="C658" s="1" t="n">
        <v>45839</v>
      </c>
      <c r="D658" t="inlineStr">
        <is>
          <t>SÖDERMANLANDS LÄN</t>
        </is>
      </c>
      <c r="E658" t="inlineStr">
        <is>
          <t>STRÄNGNÄS</t>
        </is>
      </c>
      <c r="G658" t="n">
        <v>7.3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28310-2025</t>
        </is>
      </c>
      <c r="B659" s="1" t="n">
        <v>45817</v>
      </c>
      <c r="C659" s="1" t="n">
        <v>45839</v>
      </c>
      <c r="D659" t="inlineStr">
        <is>
          <t>SÖDERMANLANDS LÄN</t>
        </is>
      </c>
      <c r="E659" t="inlineStr">
        <is>
          <t>STRÄNGNÄS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28064-2025</t>
        </is>
      </c>
      <c r="B660" s="1" t="n">
        <v>45817</v>
      </c>
      <c r="C660" s="1" t="n">
        <v>45839</v>
      </c>
      <c r="D660" t="inlineStr">
        <is>
          <t>SÖDERMANLANDS LÄN</t>
        </is>
      </c>
      <c r="E660" t="inlineStr">
        <is>
          <t>STRÄNGNÄS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28075-2025</t>
        </is>
      </c>
      <c r="B661" s="1" t="n">
        <v>45817</v>
      </c>
      <c r="C661" s="1" t="n">
        <v>45839</v>
      </c>
      <c r="D661" t="inlineStr">
        <is>
          <t>SÖDERMANLANDS LÄN</t>
        </is>
      </c>
      <c r="E661" t="inlineStr">
        <is>
          <t>STRÄNGNÄS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28078-2025</t>
        </is>
      </c>
      <c r="B662" s="1" t="n">
        <v>45817</v>
      </c>
      <c r="C662" s="1" t="n">
        <v>45839</v>
      </c>
      <c r="D662" t="inlineStr">
        <is>
          <t>SÖDERMANLANDS LÄN</t>
        </is>
      </c>
      <c r="E662" t="inlineStr">
        <is>
          <t>STRÄNGNÄS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28105-2025</t>
        </is>
      </c>
      <c r="B663" s="1" t="n">
        <v>45817</v>
      </c>
      <c r="C663" s="1" t="n">
        <v>45839</v>
      </c>
      <c r="D663" t="inlineStr">
        <is>
          <t>SÖDERMANLANDS LÄN</t>
        </is>
      </c>
      <c r="E663" t="inlineStr">
        <is>
          <t>STRÄNGNÄS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28298-2025</t>
        </is>
      </c>
      <c r="B664" s="1" t="n">
        <v>45817</v>
      </c>
      <c r="C664" s="1" t="n">
        <v>45839</v>
      </c>
      <c r="D664" t="inlineStr">
        <is>
          <t>SÖDERMANLANDS LÄN</t>
        </is>
      </c>
      <c r="E664" t="inlineStr">
        <is>
          <t>STRÄNGNÄS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28106-2025</t>
        </is>
      </c>
      <c r="B665" s="1" t="n">
        <v>45817</v>
      </c>
      <c r="C665" s="1" t="n">
        <v>45839</v>
      </c>
      <c r="D665" t="inlineStr">
        <is>
          <t>SÖDERMANLANDS LÄN</t>
        </is>
      </c>
      <c r="E665" t="inlineStr">
        <is>
          <t>STRÄNGNÄS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28305-2025</t>
        </is>
      </c>
      <c r="B666" s="1" t="n">
        <v>45817</v>
      </c>
      <c r="C666" s="1" t="n">
        <v>45839</v>
      </c>
      <c r="D666" t="inlineStr">
        <is>
          <t>SÖDERMANLANDS LÄN</t>
        </is>
      </c>
      <c r="E666" t="inlineStr">
        <is>
          <t>STRÄNGNÄS</t>
        </is>
      </c>
      <c r="G666" t="n">
        <v>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30636-2025</t>
        </is>
      </c>
      <c r="B667" s="1" t="n">
        <v>45831</v>
      </c>
      <c r="C667" s="1" t="n">
        <v>45839</v>
      </c>
      <c r="D667" t="inlineStr">
        <is>
          <t>SÖDERMANLANDS LÄN</t>
        </is>
      </c>
      <c r="E667" t="inlineStr">
        <is>
          <t>STRÄNGNÄS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30622-2025</t>
        </is>
      </c>
      <c r="B668" s="1" t="n">
        <v>45831</v>
      </c>
      <c r="C668" s="1" t="n">
        <v>45839</v>
      </c>
      <c r="D668" t="inlineStr">
        <is>
          <t>SÖDERMANLANDS LÄN</t>
        </is>
      </c>
      <c r="E668" t="inlineStr">
        <is>
          <t>STRÄNGNÄS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30999-2025</t>
        </is>
      </c>
      <c r="B669" s="1" t="n">
        <v>45832</v>
      </c>
      <c r="C669" s="1" t="n">
        <v>45839</v>
      </c>
      <c r="D669" t="inlineStr">
        <is>
          <t>SÖDERMANLANDS LÄN</t>
        </is>
      </c>
      <c r="E669" t="inlineStr">
        <is>
          <t>STRÄNGNÄS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31745-2025</t>
        </is>
      </c>
      <c r="B670" s="1" t="n">
        <v>45834</v>
      </c>
      <c r="C670" s="1" t="n">
        <v>45839</v>
      </c>
      <c r="D670" t="inlineStr">
        <is>
          <t>SÖDERMANLANDS LÄN</t>
        </is>
      </c>
      <c r="E670" t="inlineStr">
        <is>
          <t>STRÄNGNÄS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>
      <c r="A671" t="inlineStr">
        <is>
          <t>A 32627-2025</t>
        </is>
      </c>
      <c r="B671" s="1" t="n">
        <v>45838</v>
      </c>
      <c r="C671" s="1" t="n">
        <v>45839</v>
      </c>
      <c r="D671" t="inlineStr">
        <is>
          <t>SÖDERMANLANDS LÄN</t>
        </is>
      </c>
      <c r="E671" t="inlineStr">
        <is>
          <t>STRÄNGNÄS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2025-07-01T18:55:40Z</dcterms:created>
  <dcterms:modified xmlns:dcterms="http://purl.org/dc/terms/" xmlns:xsi="http://www.w3.org/2001/XMLSchema-instance" xsi:type="dcterms:W3CDTF">2025-07-01T18:55:40Z</dcterms:modified>
</cp:coreProperties>
</file>