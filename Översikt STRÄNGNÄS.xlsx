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45971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45971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45971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45971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45971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45971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45971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45971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45971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45971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48373-2025</t>
        </is>
      </c>
      <c r="B12" s="1" t="n">
        <v>45933</v>
      </c>
      <c r="C12" s="1" t="n">
        <v>45971</v>
      </c>
      <c r="D12" t="inlineStr">
        <is>
          <t>SÖDERMANLANDS LÄN</t>
        </is>
      </c>
      <c r="E12" t="inlineStr">
        <is>
          <t>STRÄNGNÄS</t>
        </is>
      </c>
      <c r="G12" t="n">
        <v>4.8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HYPERLINK("https://klasma.github.io/Logging_0486/artfynd/A 48373-2025 artfynd.xlsx", "A 48373-2025")</f>
        <v/>
      </c>
      <c r="T12">
        <f>HYPERLINK("https://klasma.github.io/Logging_0486/kartor/A 48373-2025 karta.png", "A 48373-2025")</f>
        <v/>
      </c>
      <c r="U12">
        <f>HYPERLINK("https://klasma.github.io/Logging_0486/knärot/A 48373-2025 karta knärot.png", "A 48373-2025")</f>
        <v/>
      </c>
      <c r="V12">
        <f>HYPERLINK("https://klasma.github.io/Logging_0486/klagomål/A 48373-2025 FSC-klagomål.docx", "A 48373-2025")</f>
        <v/>
      </c>
      <c r="W12">
        <f>HYPERLINK("https://klasma.github.io/Logging_0486/klagomålsmail/A 48373-2025 FSC-klagomål mail.docx", "A 48373-2025")</f>
        <v/>
      </c>
      <c r="X12">
        <f>HYPERLINK("https://klasma.github.io/Logging_0486/tillsyn/A 48373-2025 tillsynsbegäran.docx", "A 48373-2025")</f>
        <v/>
      </c>
      <c r="Y12">
        <f>HYPERLINK("https://klasma.github.io/Logging_0486/tillsynsmail/A 48373-2025 tillsynsbegäran mail.docx", "A 48373-2025")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45971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45971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45971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65330-2021</t>
        </is>
      </c>
      <c r="B16" s="1" t="n">
        <v>44515</v>
      </c>
      <c r="C16" s="1" t="n">
        <v>45971</v>
      </c>
      <c r="D16" t="inlineStr">
        <is>
          <t>SÖDERMANLANDS LÄN</t>
        </is>
      </c>
      <c r="E16" t="inlineStr">
        <is>
          <t>STRÄNGNÄS</t>
        </is>
      </c>
      <c r="G16" t="n">
        <v>6.4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HYPERLINK("https://klasma.github.io/Logging_0486/artfynd/A 65330-2021 artfynd.xlsx", "A 65330-2021")</f>
        <v/>
      </c>
      <c r="T16">
        <f>HYPERLINK("https://klasma.github.io/Logging_0486/kartor/A 65330-2021 karta.png", "A 65330-2021")</f>
        <v/>
      </c>
      <c r="V16">
        <f>HYPERLINK("https://klasma.github.io/Logging_0486/klagomål/A 65330-2021 FSC-klagomål.docx", "A 65330-2021")</f>
        <v/>
      </c>
      <c r="W16">
        <f>HYPERLINK("https://klasma.github.io/Logging_0486/klagomålsmail/A 65330-2021 FSC-klagomål mail.docx", "A 65330-2021")</f>
        <v/>
      </c>
      <c r="X16">
        <f>HYPERLINK("https://klasma.github.io/Logging_0486/tillsyn/A 65330-2021 tillsynsbegäran.docx", "A 65330-2021")</f>
        <v/>
      </c>
      <c r="Y16">
        <f>HYPERLINK("https://klasma.github.io/Logging_0486/tillsynsmail/A 65330-2021 tillsynsbegäran mail.docx", "A 65330-2021")</f>
        <v/>
      </c>
      <c r="Z16">
        <f>HYPERLINK("https://klasma.github.io/Logging_0486/fåglar/A 65330-2021 prioriterade fågelarter.docx", "A 65330-2021")</f>
        <v/>
      </c>
    </row>
    <row r="17" ht="15" customHeight="1">
      <c r="A17" t="inlineStr">
        <is>
          <t>A 2493-2022</t>
        </is>
      </c>
      <c r="B17" s="1" t="n">
        <v>44579</v>
      </c>
      <c r="C17" s="1" t="n">
        <v>45971</v>
      </c>
      <c r="D17" t="inlineStr">
        <is>
          <t>SÖDERMANLANDS LÄN</t>
        </is>
      </c>
      <c r="E17" t="inlineStr">
        <is>
          <t>STRÄNGNÄS</t>
        </is>
      </c>
      <c r="G17" t="n">
        <v>36.4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HYPERLINK("https://klasma.github.io/Logging_0486/artfynd/A 2493-2022 artfynd.xlsx", "A 2493-2022")</f>
        <v/>
      </c>
      <c r="T17">
        <f>HYPERLINK("https://klasma.github.io/Logging_0486/kartor/A 2493-2022 karta.png", "A 2493-2022")</f>
        <v/>
      </c>
      <c r="V17">
        <f>HYPERLINK("https://klasma.github.io/Logging_0486/klagomål/A 2493-2022 FSC-klagomål.docx", "A 2493-2022")</f>
        <v/>
      </c>
      <c r="W17">
        <f>HYPERLINK("https://klasma.github.io/Logging_0486/klagomålsmail/A 2493-2022 FSC-klagomål mail.docx", "A 2493-2022")</f>
        <v/>
      </c>
      <c r="X17">
        <f>HYPERLINK("https://klasma.github.io/Logging_0486/tillsyn/A 2493-2022 tillsynsbegäran.docx", "A 2493-2022")</f>
        <v/>
      </c>
      <c r="Y17">
        <f>HYPERLINK("https://klasma.github.io/Logging_0486/tillsynsmail/A 2493-2022 tillsynsbegäran mail.docx", "A 2493-2022")</f>
        <v/>
      </c>
    </row>
    <row r="18" ht="15" customHeight="1">
      <c r="A18" t="inlineStr">
        <is>
          <t>A 63301-2021</t>
        </is>
      </c>
      <c r="B18" s="1" t="n">
        <v>44505</v>
      </c>
      <c r="C18" s="1" t="n">
        <v>45971</v>
      </c>
      <c r="D18" t="inlineStr">
        <is>
          <t>SÖDERMANLANDS LÄN</t>
        </is>
      </c>
      <c r="E18" t="inlineStr">
        <is>
          <t>STRÄNGNÄS</t>
        </is>
      </c>
      <c r="G18" t="n">
        <v>11.6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HYPERLINK("https://klasma.github.io/Logging_0486/artfynd/A 63301-2021 artfynd.xlsx", "A 63301-2021")</f>
        <v/>
      </c>
      <c r="T18">
        <f>HYPERLINK("https://klasma.github.io/Logging_0486/kartor/A 63301-2021 karta.png", "A 63301-2021")</f>
        <v/>
      </c>
      <c r="V18">
        <f>HYPERLINK("https://klasma.github.io/Logging_0486/klagomål/A 63301-2021 FSC-klagomål.docx", "A 63301-2021")</f>
        <v/>
      </c>
      <c r="W18">
        <f>HYPERLINK("https://klasma.github.io/Logging_0486/klagomålsmail/A 63301-2021 FSC-klagomål mail.docx", "A 63301-2021")</f>
        <v/>
      </c>
      <c r="X18">
        <f>HYPERLINK("https://klasma.github.io/Logging_0486/tillsyn/A 63301-2021 tillsynsbegäran.docx", "A 63301-2021")</f>
        <v/>
      </c>
      <c r="Y18">
        <f>HYPERLINK("https://klasma.github.io/Logging_0486/tillsynsmail/A 63301-2021 tillsynsbegäran mail.docx", "A 63301-2021")</f>
        <v/>
      </c>
    </row>
    <row r="19" ht="15" customHeight="1">
      <c r="A19" t="inlineStr">
        <is>
          <t>A 50010-2023</t>
        </is>
      </c>
      <c r="B19" s="1" t="n">
        <v>45215</v>
      </c>
      <c r="C19" s="1" t="n">
        <v>45971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Sveaskog</t>
        </is>
      </c>
      <c r="G19" t="n">
        <v>5.6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HYPERLINK("https://klasma.github.io/Logging_0486/artfynd/A 50010-2023 artfynd.xlsx", "A 50010-2023")</f>
        <v/>
      </c>
      <c r="T19">
        <f>HYPERLINK("https://klasma.github.io/Logging_0486/kartor/A 50010-2023 karta.png", "A 50010-2023")</f>
        <v/>
      </c>
      <c r="V19">
        <f>HYPERLINK("https://klasma.github.io/Logging_0486/klagomål/A 50010-2023 FSC-klagomål.docx", "A 50010-2023")</f>
        <v/>
      </c>
      <c r="W19">
        <f>HYPERLINK("https://klasma.github.io/Logging_0486/klagomålsmail/A 50010-2023 FSC-klagomål mail.docx", "A 50010-2023")</f>
        <v/>
      </c>
      <c r="X19">
        <f>HYPERLINK("https://klasma.github.io/Logging_0486/tillsyn/A 50010-2023 tillsynsbegäran.docx", "A 50010-2023")</f>
        <v/>
      </c>
      <c r="Y19">
        <f>HYPERLINK("https://klasma.github.io/Logging_0486/tillsynsmail/A 50010-2023 tillsynsbegäran mail.docx", "A 50010-2023")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45971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54715-2024</t>
        </is>
      </c>
      <c r="B21" s="1" t="n">
        <v>45617</v>
      </c>
      <c r="C21" s="1" t="n">
        <v>45971</v>
      </c>
      <c r="D21" t="inlineStr">
        <is>
          <t>SÖDERMANLANDS LÄN</t>
        </is>
      </c>
      <c r="E21" t="inlineStr">
        <is>
          <t>STRÄNGNÄS</t>
        </is>
      </c>
      <c r="G21" t="n">
        <v>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HYPERLINK("https://klasma.github.io/Logging_0486/artfynd/A 54715-2024 artfynd.xlsx", "A 54715-2024")</f>
        <v/>
      </c>
      <c r="T21">
        <f>HYPERLINK("https://klasma.github.io/Logging_0486/kartor/A 54715-2024 karta.png", "A 54715-2024")</f>
        <v/>
      </c>
      <c r="V21">
        <f>HYPERLINK("https://klasma.github.io/Logging_0486/klagomål/A 54715-2024 FSC-klagomål.docx", "A 54715-2024")</f>
        <v/>
      </c>
      <c r="W21">
        <f>HYPERLINK("https://klasma.github.io/Logging_0486/klagomålsmail/A 54715-2024 FSC-klagomål mail.docx", "A 54715-2024")</f>
        <v/>
      </c>
      <c r="X21">
        <f>HYPERLINK("https://klasma.github.io/Logging_0486/tillsyn/A 54715-2024 tillsynsbegäran.docx", "A 54715-2024")</f>
        <v/>
      </c>
      <c r="Y21">
        <f>HYPERLINK("https://klasma.github.io/Logging_0486/tillsynsmail/A 54715-2024 tillsynsbegäran mail.docx", "A 54715-2024")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45971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52320-2023</t>
        </is>
      </c>
      <c r="B23" s="1" t="n">
        <v>45224</v>
      </c>
      <c r="C23" s="1" t="n">
        <v>45971</v>
      </c>
      <c r="D23" t="inlineStr">
        <is>
          <t>SÖDERMANLANDS LÄN</t>
        </is>
      </c>
      <c r="E23" t="inlineStr">
        <is>
          <t>STRÄNGNÄS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HYPERLINK("https://klasma.github.io/Logging_0486/artfynd/A 52320-2023 artfynd.xlsx", "A 52320-2023")</f>
        <v/>
      </c>
      <c r="T23">
        <f>HYPERLINK("https://klasma.github.io/Logging_0486/kartor/A 52320-2023 karta.png", "A 52320-2023")</f>
        <v/>
      </c>
      <c r="V23">
        <f>HYPERLINK("https://klasma.github.io/Logging_0486/klagomål/A 52320-2023 FSC-klagomål.docx", "A 52320-2023")</f>
        <v/>
      </c>
      <c r="W23">
        <f>HYPERLINK("https://klasma.github.io/Logging_0486/klagomålsmail/A 52320-2023 FSC-klagomål mail.docx", "A 52320-2023")</f>
        <v/>
      </c>
      <c r="X23">
        <f>HYPERLINK("https://klasma.github.io/Logging_0486/tillsyn/A 52320-2023 tillsynsbegäran.docx", "A 52320-2023")</f>
        <v/>
      </c>
      <c r="Y23">
        <f>HYPERLINK("https://klasma.github.io/Logging_0486/tillsynsmail/A 52320-2023 tillsynsbegäran mail.docx", "A 52320-2023")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45971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64960-2020</t>
        </is>
      </c>
      <c r="B25" s="1" t="n">
        <v>44167</v>
      </c>
      <c r="C25" s="1" t="n">
        <v>45971</v>
      </c>
      <c r="D25" t="inlineStr">
        <is>
          <t>SÖDERMANLANDS LÄN</t>
        </is>
      </c>
      <c r="E25" t="inlineStr">
        <is>
          <t>STRÄNGNÄS</t>
        </is>
      </c>
      <c r="G25" t="n">
        <v>7.7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HYPERLINK("https://klasma.github.io/Logging_0486/artfynd/A 64960-2020 artfynd.xlsx", "A 64960-2020")</f>
        <v/>
      </c>
      <c r="T25">
        <f>HYPERLINK("https://klasma.github.io/Logging_0486/kartor/A 64960-2020 karta.png", "A 64960-2020")</f>
        <v/>
      </c>
      <c r="U25">
        <f>HYPERLINK("https://klasma.github.io/Logging_0486/knärot/A 64960-2020 karta knärot.png", "A 64960-2020")</f>
        <v/>
      </c>
      <c r="V25">
        <f>HYPERLINK("https://klasma.github.io/Logging_0486/klagomål/A 64960-2020 FSC-klagomål.docx", "A 64960-2020")</f>
        <v/>
      </c>
      <c r="W25">
        <f>HYPERLINK("https://klasma.github.io/Logging_0486/klagomålsmail/A 64960-2020 FSC-klagomål mail.docx", "A 64960-2020")</f>
        <v/>
      </c>
      <c r="X25">
        <f>HYPERLINK("https://klasma.github.io/Logging_0486/tillsyn/A 64960-2020 tillsynsbegäran.docx", "A 64960-2020")</f>
        <v/>
      </c>
      <c r="Y25">
        <f>HYPERLINK("https://klasma.github.io/Logging_0486/tillsynsmail/A 64960-2020 tillsynsbegäran mail.docx", "A 64960-2020")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45971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45971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45971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45971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45971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45971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45971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53488-2022</t>
        </is>
      </c>
      <c r="B33" s="1" t="n">
        <v>44874</v>
      </c>
      <c r="C33" s="1" t="n">
        <v>45971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45971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45971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2574-2022</t>
        </is>
      </c>
      <c r="B36" s="1" t="n">
        <v>44579</v>
      </c>
      <c r="C36" s="1" t="n">
        <v>45971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1869-2021</t>
        </is>
      </c>
      <c r="B37" s="1" t="n">
        <v>44210</v>
      </c>
      <c r="C37" s="1" t="n">
        <v>45971</v>
      </c>
      <c r="D37" t="inlineStr">
        <is>
          <t>SÖDERMANLANDS LÄN</t>
        </is>
      </c>
      <c r="E37" t="inlineStr">
        <is>
          <t>STRÄNGNÄS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45971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45971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45971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45971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45971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45971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45971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45971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45971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45971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45971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45971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45971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45971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45971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45971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45971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45971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45971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45971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45971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45971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45971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45971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45971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45971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45971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45971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45971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45971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45971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45971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45971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45971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1783-2021</t>
        </is>
      </c>
      <c r="B72" s="1" t="n">
        <v>44210</v>
      </c>
      <c r="C72" s="1" t="n">
        <v>45971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45971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45971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45971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45971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45971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45971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45971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47763-2022</t>
        </is>
      </c>
      <c r="B80" s="1" t="n">
        <v>44854</v>
      </c>
      <c r="C80" s="1" t="n">
        <v>45971</v>
      </c>
      <c r="D80" t="inlineStr">
        <is>
          <t>SÖDERMANLANDS LÄN</t>
        </is>
      </c>
      <c r="E80" t="inlineStr">
        <is>
          <t>STRÄNGNÄS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22080-2022</t>
        </is>
      </c>
      <c r="B81" s="1" t="n">
        <v>44711</v>
      </c>
      <c r="C81" s="1" t="n">
        <v>45971</v>
      </c>
      <c r="D81" t="inlineStr">
        <is>
          <t>SÖDERMANLANDS LÄN</t>
        </is>
      </c>
      <c r="E81" t="inlineStr">
        <is>
          <t>STRÄNGNÄS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45971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45971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51815-2022</t>
        </is>
      </c>
      <c r="B84" s="1" t="n">
        <v>44872</v>
      </c>
      <c r="C84" s="1" t="n">
        <v>45971</v>
      </c>
      <c r="D84" t="inlineStr">
        <is>
          <t>SÖDERMANLANDS LÄN</t>
        </is>
      </c>
      <c r="E84" t="inlineStr">
        <is>
          <t>STRÄNGNÄS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51772-2022</t>
        </is>
      </c>
      <c r="B85" s="1" t="n">
        <v>44872</v>
      </c>
      <c r="C85" s="1" t="n">
        <v>45971</v>
      </c>
      <c r="D85" t="inlineStr">
        <is>
          <t>SÖDERMANLANDS LÄN</t>
        </is>
      </c>
      <c r="E85" t="inlineStr">
        <is>
          <t>STRÄNGNÄS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67639-2021</t>
        </is>
      </c>
      <c r="B86" s="1" t="n">
        <v>44524</v>
      </c>
      <c r="C86" s="1" t="n">
        <v>45971</v>
      </c>
      <c r="D86" t="inlineStr">
        <is>
          <t>SÖDERMANLANDS LÄN</t>
        </is>
      </c>
      <c r="E86" t="inlineStr">
        <is>
          <t>STRÄNGNÄS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21317-2022</t>
        </is>
      </c>
      <c r="B87" s="1" t="n">
        <v>44705</v>
      </c>
      <c r="C87" s="1" t="n">
        <v>45971</v>
      </c>
      <c r="D87" t="inlineStr">
        <is>
          <t>SÖDERMANLANDS LÄN</t>
        </is>
      </c>
      <c r="E87" t="inlineStr">
        <is>
          <t>STRÄNGNÄS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22069-2022</t>
        </is>
      </c>
      <c r="B88" s="1" t="n">
        <v>44711</v>
      </c>
      <c r="C88" s="1" t="n">
        <v>45971</v>
      </c>
      <c r="D88" t="inlineStr">
        <is>
          <t>SÖDERMANLANDS LÄN</t>
        </is>
      </c>
      <c r="E88" t="inlineStr">
        <is>
          <t>STRÄNGNÄS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50709-2022</t>
        </is>
      </c>
      <c r="B89" s="1" t="n">
        <v>44867</v>
      </c>
      <c r="C89" s="1" t="n">
        <v>45971</v>
      </c>
      <c r="D89" t="inlineStr">
        <is>
          <t>SÖDERMANLANDS LÄN</t>
        </is>
      </c>
      <c r="E89" t="inlineStr">
        <is>
          <t>STRÄNGNÄS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51762-2022</t>
        </is>
      </c>
      <c r="B90" s="1" t="n">
        <v>44872</v>
      </c>
      <c r="C90" s="1" t="n">
        <v>45971</v>
      </c>
      <c r="D90" t="inlineStr">
        <is>
          <t>SÖDERMANLANDS LÄN</t>
        </is>
      </c>
      <c r="E90" t="inlineStr">
        <is>
          <t>STRÄNGNÄS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1860-2021</t>
        </is>
      </c>
      <c r="B91" s="1" t="n">
        <v>44210</v>
      </c>
      <c r="C91" s="1" t="n">
        <v>45971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19334-2021</t>
        </is>
      </c>
      <c r="B92" s="1" t="n">
        <v>44309.56851851852</v>
      </c>
      <c r="C92" s="1" t="n">
        <v>45971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16767-2021</t>
        </is>
      </c>
      <c r="B93" s="1" t="n">
        <v>44294</v>
      </c>
      <c r="C93" s="1" t="n">
        <v>45971</v>
      </c>
      <c r="D93" t="inlineStr">
        <is>
          <t>SÖDERMANLANDS LÄN</t>
        </is>
      </c>
      <c r="E93" t="inlineStr">
        <is>
          <t>STRÄNGNÄS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9607-2022</t>
        </is>
      </c>
      <c r="B94" s="1" t="n">
        <v>44617</v>
      </c>
      <c r="C94" s="1" t="n">
        <v>45971</v>
      </c>
      <c r="D94" t="inlineStr">
        <is>
          <t>SÖDERMANLANDS LÄN</t>
        </is>
      </c>
      <c r="E94" t="inlineStr">
        <is>
          <t>STRÄNGNÄS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60398-2021</t>
        </is>
      </c>
      <c r="B95" s="1" t="n">
        <v>44496.38612268519</v>
      </c>
      <c r="C95" s="1" t="n">
        <v>45971</v>
      </c>
      <c r="D95" t="inlineStr">
        <is>
          <t>SÖDERMANLANDS LÄN</t>
        </is>
      </c>
      <c r="E95" t="inlineStr">
        <is>
          <t>STRÄNGNÄS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3927-2021</t>
        </is>
      </c>
      <c r="B96" s="1" t="n">
        <v>44218</v>
      </c>
      <c r="C96" s="1" t="n">
        <v>45971</v>
      </c>
      <c r="D96" t="inlineStr">
        <is>
          <t>SÖDERMANLANDS LÄN</t>
        </is>
      </c>
      <c r="E96" t="inlineStr">
        <is>
          <t>STRÄNGNÄS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45971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23137-2021</t>
        </is>
      </c>
      <c r="B98" s="1" t="n">
        <v>44331</v>
      </c>
      <c r="C98" s="1" t="n">
        <v>45971</v>
      </c>
      <c r="D98" t="inlineStr">
        <is>
          <t>SÖDERMANLANDS LÄN</t>
        </is>
      </c>
      <c r="E98" t="inlineStr">
        <is>
          <t>STRÄNGNÄS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33321-2021</t>
        </is>
      </c>
      <c r="B99" s="1" t="n">
        <v>44377</v>
      </c>
      <c r="C99" s="1" t="n">
        <v>45971</v>
      </c>
      <c r="D99" t="inlineStr">
        <is>
          <t>SÖDERMANLANDS LÄN</t>
        </is>
      </c>
      <c r="E99" t="inlineStr">
        <is>
          <t>STRÄNGNÄS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18860-2023</t>
        </is>
      </c>
      <c r="B100" s="1" t="n">
        <v>45044</v>
      </c>
      <c r="C100" s="1" t="n">
        <v>45971</v>
      </c>
      <c r="D100" t="inlineStr">
        <is>
          <t>SÖDERMANLANDS LÄN</t>
        </is>
      </c>
      <c r="E100" t="inlineStr">
        <is>
          <t>STRÄNGNÄS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18865-2023</t>
        </is>
      </c>
      <c r="B101" s="1" t="n">
        <v>45044</v>
      </c>
      <c r="C101" s="1" t="n">
        <v>45971</v>
      </c>
      <c r="D101" t="inlineStr">
        <is>
          <t>SÖDERMANLANDS LÄN</t>
        </is>
      </c>
      <c r="E101" t="inlineStr">
        <is>
          <t>STRÄNGNÄS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14437-2021</t>
        </is>
      </c>
      <c r="B102" s="1" t="n">
        <v>44279</v>
      </c>
      <c r="C102" s="1" t="n">
        <v>45971</v>
      </c>
      <c r="D102" t="inlineStr">
        <is>
          <t>SÖDERMANLANDS LÄN</t>
        </is>
      </c>
      <c r="E102" t="inlineStr">
        <is>
          <t>STRÄNGNÄS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9701-2022</t>
        </is>
      </c>
      <c r="B103" s="1" t="n">
        <v>44617.68679398148</v>
      </c>
      <c r="C103" s="1" t="n">
        <v>45971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42103-2022</t>
        </is>
      </c>
      <c r="B104" s="1" t="n">
        <v>44830</v>
      </c>
      <c r="C104" s="1" t="n">
        <v>45971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70934-2021</t>
        </is>
      </c>
      <c r="B105" s="1" t="n">
        <v>44537</v>
      </c>
      <c r="C105" s="1" t="n">
        <v>45971</v>
      </c>
      <c r="D105" t="inlineStr">
        <is>
          <t>SÖDERMANLANDS LÄN</t>
        </is>
      </c>
      <c r="E105" t="inlineStr">
        <is>
          <t>STRÄNGNÄS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35814-2022</t>
        </is>
      </c>
      <c r="B106" s="1" t="n">
        <v>44799</v>
      </c>
      <c r="C106" s="1" t="n">
        <v>45971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21526-2022</t>
        </is>
      </c>
      <c r="B107" s="1" t="n">
        <v>44706</v>
      </c>
      <c r="C107" s="1" t="n">
        <v>45971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27689-2021</t>
        </is>
      </c>
      <c r="B108" s="1" t="n">
        <v>44354.43542824074</v>
      </c>
      <c r="C108" s="1" t="n">
        <v>45971</v>
      </c>
      <c r="D108" t="inlineStr">
        <is>
          <t>SÖDERMANLANDS LÄN</t>
        </is>
      </c>
      <c r="E108" t="inlineStr">
        <is>
          <t>STRÄNGNÄS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9158-2022</t>
        </is>
      </c>
      <c r="B109" s="1" t="n">
        <v>44615</v>
      </c>
      <c r="C109" s="1" t="n">
        <v>45971</v>
      </c>
      <c r="D109" t="inlineStr">
        <is>
          <t>SÖDERMANLANDS LÄN</t>
        </is>
      </c>
      <c r="E109" t="inlineStr">
        <is>
          <t>STRÄNGNÄS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33752-2021</t>
        </is>
      </c>
      <c r="B110" s="1" t="n">
        <v>44378</v>
      </c>
      <c r="C110" s="1" t="n">
        <v>45971</v>
      </c>
      <c r="D110" t="inlineStr">
        <is>
          <t>SÖDERMANLANDS LÄN</t>
        </is>
      </c>
      <c r="E110" t="inlineStr">
        <is>
          <t>STRÄNGNÄS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13249-2021</t>
        </is>
      </c>
      <c r="B111" s="1" t="n">
        <v>44272</v>
      </c>
      <c r="C111" s="1" t="n">
        <v>45971</v>
      </c>
      <c r="D111" t="inlineStr">
        <is>
          <t>SÖDERMANLANDS LÄN</t>
        </is>
      </c>
      <c r="E111" t="inlineStr">
        <is>
          <t>STRÄNGNÄS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35368-2021</t>
        </is>
      </c>
      <c r="B112" s="1" t="n">
        <v>44384</v>
      </c>
      <c r="C112" s="1" t="n">
        <v>45971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1787-2021</t>
        </is>
      </c>
      <c r="B113" s="1" t="n">
        <v>44210</v>
      </c>
      <c r="C113" s="1" t="n">
        <v>45971</v>
      </c>
      <c r="D113" t="inlineStr">
        <is>
          <t>SÖDERMANLANDS LÄN</t>
        </is>
      </c>
      <c r="E113" t="inlineStr">
        <is>
          <t>STRÄNGNÄS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46586-2021</t>
        </is>
      </c>
      <c r="B114" s="1" t="n">
        <v>44445.51737268519</v>
      </c>
      <c r="C114" s="1" t="n">
        <v>45971</v>
      </c>
      <c r="D114" t="inlineStr">
        <is>
          <t>SÖDERMANLANDS LÄN</t>
        </is>
      </c>
      <c r="E114" t="inlineStr">
        <is>
          <t>STRÄNGNÄS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35369-2021</t>
        </is>
      </c>
      <c r="B115" s="1" t="n">
        <v>44385</v>
      </c>
      <c r="C115" s="1" t="n">
        <v>45971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10867-2023</t>
        </is>
      </c>
      <c r="B116" s="1" t="n">
        <v>44991</v>
      </c>
      <c r="C116" s="1" t="n">
        <v>45971</v>
      </c>
      <c r="D116" t="inlineStr">
        <is>
          <t>SÖDERMANLANDS LÄN</t>
        </is>
      </c>
      <c r="E116" t="inlineStr">
        <is>
          <t>STRÄNGNÄS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35367-2021</t>
        </is>
      </c>
      <c r="B117" s="1" t="n">
        <v>44384</v>
      </c>
      <c r="C117" s="1" t="n">
        <v>45971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1866-2021</t>
        </is>
      </c>
      <c r="B118" s="1" t="n">
        <v>44210</v>
      </c>
      <c r="C118" s="1" t="n">
        <v>45971</v>
      </c>
      <c r="D118" t="inlineStr">
        <is>
          <t>SÖDERMANLANDS LÄN</t>
        </is>
      </c>
      <c r="E118" t="inlineStr">
        <is>
          <t>STRÄNGNÄS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1256-2023</t>
        </is>
      </c>
      <c r="B119" s="1" t="n">
        <v>44936.37650462963</v>
      </c>
      <c r="C119" s="1" t="n">
        <v>45971</v>
      </c>
      <c r="D119" t="inlineStr">
        <is>
          <t>SÖDERMANLANDS LÄN</t>
        </is>
      </c>
      <c r="E119" t="inlineStr">
        <is>
          <t>STRÄNGNÄS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15572-2024</t>
        </is>
      </c>
      <c r="B120" s="1" t="n">
        <v>45401.68202546296</v>
      </c>
      <c r="C120" s="1" t="n">
        <v>45971</v>
      </c>
      <c r="D120" t="inlineStr">
        <is>
          <t>SÖDERMANLANDS LÄN</t>
        </is>
      </c>
      <c r="E120" t="inlineStr">
        <is>
          <t>STRÄNGNÄS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12152-2024</t>
        </is>
      </c>
      <c r="B121" s="1" t="n">
        <v>45377.72087962963</v>
      </c>
      <c r="C121" s="1" t="n">
        <v>45971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Allmännings- och besparingsskogar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71414-2021</t>
        </is>
      </c>
      <c r="B122" s="1" t="n">
        <v>44540</v>
      </c>
      <c r="C122" s="1" t="n">
        <v>45971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58518-2021</t>
        </is>
      </c>
      <c r="B123" s="1" t="n">
        <v>44488</v>
      </c>
      <c r="C123" s="1" t="n">
        <v>45971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41241-2022</t>
        </is>
      </c>
      <c r="B124" s="1" t="n">
        <v>44826</v>
      </c>
      <c r="C124" s="1" t="n">
        <v>45971</v>
      </c>
      <c r="D124" t="inlineStr">
        <is>
          <t>SÖDERMANLANDS LÄN</t>
        </is>
      </c>
      <c r="E124" t="inlineStr">
        <is>
          <t>STRÄNGNÄS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12114-2023</t>
        </is>
      </c>
      <c r="B125" s="1" t="n">
        <v>44998</v>
      </c>
      <c r="C125" s="1" t="n">
        <v>45971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33314-2021</t>
        </is>
      </c>
      <c r="B126" s="1" t="n">
        <v>44377</v>
      </c>
      <c r="C126" s="1" t="n">
        <v>45971</v>
      </c>
      <c r="D126" t="inlineStr">
        <is>
          <t>SÖDERMANLANDS LÄN</t>
        </is>
      </c>
      <c r="E126" t="inlineStr">
        <is>
          <t>STRÄNGNÄS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1518-2021</t>
        </is>
      </c>
      <c r="B127" s="1" t="n">
        <v>44208</v>
      </c>
      <c r="C127" s="1" t="n">
        <v>45971</v>
      </c>
      <c r="D127" t="inlineStr">
        <is>
          <t>SÖDERMANLANDS LÄN</t>
        </is>
      </c>
      <c r="E127" t="inlineStr">
        <is>
          <t>STRÄNGNÄS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21126-2023</t>
        </is>
      </c>
      <c r="B128" s="1" t="n">
        <v>45057</v>
      </c>
      <c r="C128" s="1" t="n">
        <v>45971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44618-2023</t>
        </is>
      </c>
      <c r="B129" s="1" t="n">
        <v>45189.63930555555</v>
      </c>
      <c r="C129" s="1" t="n">
        <v>45971</v>
      </c>
      <c r="D129" t="inlineStr">
        <is>
          <t>SÖDERMANLANDS LÄN</t>
        </is>
      </c>
      <c r="E129" t="inlineStr">
        <is>
          <t>STRÄNGNÄS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38332-2021</t>
        </is>
      </c>
      <c r="B130" s="1" t="n">
        <v>44406</v>
      </c>
      <c r="C130" s="1" t="n">
        <v>45971</v>
      </c>
      <c r="D130" t="inlineStr">
        <is>
          <t>SÖDERMANLANDS LÄN</t>
        </is>
      </c>
      <c r="E130" t="inlineStr">
        <is>
          <t>STRÄNGNÄS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72270-2021</t>
        </is>
      </c>
      <c r="B131" s="1" t="n">
        <v>44545</v>
      </c>
      <c r="C131" s="1" t="n">
        <v>45971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23001-2023</t>
        </is>
      </c>
      <c r="B132" s="1" t="n">
        <v>45072</v>
      </c>
      <c r="C132" s="1" t="n">
        <v>45971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20181-2024</t>
        </is>
      </c>
      <c r="B133" s="1" t="n">
        <v>45434.61946759259</v>
      </c>
      <c r="C133" s="1" t="n">
        <v>45971</v>
      </c>
      <c r="D133" t="inlineStr">
        <is>
          <t>SÖDERMANLANDS LÄN</t>
        </is>
      </c>
      <c r="E133" t="inlineStr">
        <is>
          <t>STRÄNGNÄS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12792-2024</t>
        </is>
      </c>
      <c r="B134" s="1" t="n">
        <v>45384.62136574074</v>
      </c>
      <c r="C134" s="1" t="n">
        <v>45971</v>
      </c>
      <c r="D134" t="inlineStr">
        <is>
          <t>SÖDERMANLANDS LÄN</t>
        </is>
      </c>
      <c r="E134" t="inlineStr">
        <is>
          <t>STRÄNGNÄS</t>
        </is>
      </c>
      <c r="G134" t="n">
        <v>19.1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60143-2024</t>
        </is>
      </c>
      <c r="B135" s="1" t="n">
        <v>45642.60890046296</v>
      </c>
      <c r="C135" s="1" t="n">
        <v>45971</v>
      </c>
      <c r="D135" t="inlineStr">
        <is>
          <t>SÖDERMANLANDS LÄN</t>
        </is>
      </c>
      <c r="E135" t="inlineStr">
        <is>
          <t>STRÄNGNÄS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6057-2025</t>
        </is>
      </c>
      <c r="B136" s="1" t="n">
        <v>45695</v>
      </c>
      <c r="C136" s="1" t="n">
        <v>45971</v>
      </c>
      <c r="D136" t="inlineStr">
        <is>
          <t>SÖDERMANLANDS LÄN</t>
        </is>
      </c>
      <c r="E136" t="inlineStr">
        <is>
          <t>STRÄNGNÄS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14034-2024</t>
        </is>
      </c>
      <c r="B137" s="1" t="n">
        <v>45392.53106481482</v>
      </c>
      <c r="C137" s="1" t="n">
        <v>45971</v>
      </c>
      <c r="D137" t="inlineStr">
        <is>
          <t>SÖDERMANLANDS LÄN</t>
        </is>
      </c>
      <c r="E137" t="inlineStr">
        <is>
          <t>STRÄNGNÄS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9704-2022</t>
        </is>
      </c>
      <c r="B138" s="1" t="n">
        <v>44617.6911574074</v>
      </c>
      <c r="C138" s="1" t="n">
        <v>45971</v>
      </c>
      <c r="D138" t="inlineStr">
        <is>
          <t>SÖDERMANLANDS LÄN</t>
        </is>
      </c>
      <c r="E138" t="inlineStr">
        <is>
          <t>STRÄNGNÄS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43388-2022</t>
        </is>
      </c>
      <c r="B139" s="1" t="n">
        <v>44834</v>
      </c>
      <c r="C139" s="1" t="n">
        <v>45971</v>
      </c>
      <c r="D139" t="inlineStr">
        <is>
          <t>SÖDERMANLANDS LÄN</t>
        </is>
      </c>
      <c r="E139" t="inlineStr">
        <is>
          <t>STRÄNGNÄS</t>
        </is>
      </c>
      <c r="G139" t="n">
        <v>16.5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18508-2024</t>
        </is>
      </c>
      <c r="B140" s="1" t="n">
        <v>45425</v>
      </c>
      <c r="C140" s="1" t="n">
        <v>45971</v>
      </c>
      <c r="D140" t="inlineStr">
        <is>
          <t>SÖDERMANLANDS LÄN</t>
        </is>
      </c>
      <c r="E140" t="inlineStr">
        <is>
          <t>STRÄNGNÄS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13613-2023</t>
        </is>
      </c>
      <c r="B141" s="1" t="n">
        <v>45006</v>
      </c>
      <c r="C141" s="1" t="n">
        <v>45971</v>
      </c>
      <c r="D141" t="inlineStr">
        <is>
          <t>SÖDERMANLANDS LÄN</t>
        </is>
      </c>
      <c r="E141" t="inlineStr">
        <is>
          <t>STRÄNGNÄS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42476-2022</t>
        </is>
      </c>
      <c r="B142" s="1" t="n">
        <v>44831</v>
      </c>
      <c r="C142" s="1" t="n">
        <v>45971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42503-2022</t>
        </is>
      </c>
      <c r="B143" s="1" t="n">
        <v>44831</v>
      </c>
      <c r="C143" s="1" t="n">
        <v>45971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21015-2023</t>
        </is>
      </c>
      <c r="B144" s="1" t="n">
        <v>45056</v>
      </c>
      <c r="C144" s="1" t="n">
        <v>45971</v>
      </c>
      <c r="D144" t="inlineStr">
        <is>
          <t>SÖDERMANLANDS LÄN</t>
        </is>
      </c>
      <c r="E144" t="inlineStr">
        <is>
          <t>STRÄNGNÄS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30375-2022</t>
        </is>
      </c>
      <c r="B145" s="1" t="n">
        <v>44760</v>
      </c>
      <c r="C145" s="1" t="n">
        <v>45971</v>
      </c>
      <c r="D145" t="inlineStr">
        <is>
          <t>SÖDERMANLANDS LÄN</t>
        </is>
      </c>
      <c r="E145" t="inlineStr">
        <is>
          <t>STRÄNGNÄS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65164-2023</t>
        </is>
      </c>
      <c r="B146" s="1" t="n">
        <v>45288</v>
      </c>
      <c r="C146" s="1" t="n">
        <v>45971</v>
      </c>
      <c r="D146" t="inlineStr">
        <is>
          <t>SÖDERMANLANDS LÄN</t>
        </is>
      </c>
      <c r="E146" t="inlineStr">
        <is>
          <t>STRÄNGNÄS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56914-2022</t>
        </is>
      </c>
      <c r="B147" s="1" t="n">
        <v>44894</v>
      </c>
      <c r="C147" s="1" t="n">
        <v>45971</v>
      </c>
      <c r="D147" t="inlineStr">
        <is>
          <t>SÖDERMANLANDS LÄN</t>
        </is>
      </c>
      <c r="E147" t="inlineStr">
        <is>
          <t>STRÄNGNÄS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18242-2023</t>
        </is>
      </c>
      <c r="B148" s="1" t="n">
        <v>45041</v>
      </c>
      <c r="C148" s="1" t="n">
        <v>45971</v>
      </c>
      <c r="D148" t="inlineStr">
        <is>
          <t>SÖDERMANLANDS LÄN</t>
        </is>
      </c>
      <c r="E148" t="inlineStr">
        <is>
          <t>STRÄNGNÄS</t>
        </is>
      </c>
      <c r="F148" t="inlineStr">
        <is>
          <t>Allmännings- och besparingsskogar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8998-2025</t>
        </is>
      </c>
      <c r="B149" s="1" t="n">
        <v>45713.55796296296</v>
      </c>
      <c r="C149" s="1" t="n">
        <v>45971</v>
      </c>
      <c r="D149" t="inlineStr">
        <is>
          <t>SÖDERMANLANDS LÄN</t>
        </is>
      </c>
      <c r="E149" t="inlineStr">
        <is>
          <t>STRÄNGNÄS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18358-2024</t>
        </is>
      </c>
      <c r="B150" s="1" t="n">
        <v>45422</v>
      </c>
      <c r="C150" s="1" t="n">
        <v>45971</v>
      </c>
      <c r="D150" t="inlineStr">
        <is>
          <t>SÖDERMANLANDS LÄN</t>
        </is>
      </c>
      <c r="E150" t="inlineStr">
        <is>
          <t>STRÄNGNÄS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71391-2021</t>
        </is>
      </c>
      <c r="B151" s="1" t="n">
        <v>44540</v>
      </c>
      <c r="C151" s="1" t="n">
        <v>45971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1117-2022</t>
        </is>
      </c>
      <c r="B152" s="1" t="n">
        <v>44571</v>
      </c>
      <c r="C152" s="1" t="n">
        <v>45971</v>
      </c>
      <c r="D152" t="inlineStr">
        <is>
          <t>SÖDERMANLANDS LÄN</t>
        </is>
      </c>
      <c r="E152" t="inlineStr">
        <is>
          <t>STRÄNGNÄS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23225-2023</t>
        </is>
      </c>
      <c r="B153" s="1" t="n">
        <v>45075</v>
      </c>
      <c r="C153" s="1" t="n">
        <v>45971</v>
      </c>
      <c r="D153" t="inlineStr">
        <is>
          <t>SÖDERMANLANDS LÄN</t>
        </is>
      </c>
      <c r="E153" t="inlineStr">
        <is>
          <t>STRÄNGNÄS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22459-2022</t>
        </is>
      </c>
      <c r="B154" s="1" t="n">
        <v>44713</v>
      </c>
      <c r="C154" s="1" t="n">
        <v>45971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45971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56984-2024</t>
        </is>
      </c>
      <c r="B156" s="1" t="n">
        <v>45628.691875</v>
      </c>
      <c r="C156" s="1" t="n">
        <v>45971</v>
      </c>
      <c r="D156" t="inlineStr">
        <is>
          <t>SÖDERMANLANDS LÄN</t>
        </is>
      </c>
      <c r="E156" t="inlineStr">
        <is>
          <t>STRÄNGNÄS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52773-2023</t>
        </is>
      </c>
      <c r="B157" s="1" t="n">
        <v>45219</v>
      </c>
      <c r="C157" s="1" t="n">
        <v>45971</v>
      </c>
      <c r="D157" t="inlineStr">
        <is>
          <t>SÖDERMANLANDS LÄN</t>
        </is>
      </c>
      <c r="E157" t="inlineStr">
        <is>
          <t>STRÄNGNÄS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52840-2023</t>
        </is>
      </c>
      <c r="B158" s="1" t="n">
        <v>45226</v>
      </c>
      <c r="C158" s="1" t="n">
        <v>45971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32079-2024</t>
        </is>
      </c>
      <c r="B159" s="1" t="n">
        <v>45511.31266203704</v>
      </c>
      <c r="C159" s="1" t="n">
        <v>45971</v>
      </c>
      <c r="D159" t="inlineStr">
        <is>
          <t>SÖDERMANLANDS LÄN</t>
        </is>
      </c>
      <c r="E159" t="inlineStr">
        <is>
          <t>STRÄNGNÄS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42806-2023</t>
        </is>
      </c>
      <c r="B160" s="1" t="n">
        <v>45182</v>
      </c>
      <c r="C160" s="1" t="n">
        <v>45971</v>
      </c>
      <c r="D160" t="inlineStr">
        <is>
          <t>SÖDERMANLANDS LÄN</t>
        </is>
      </c>
      <c r="E160" t="inlineStr">
        <is>
          <t>STRÄNGNÄS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20167-2023</t>
        </is>
      </c>
      <c r="B161" s="1" t="n">
        <v>45051</v>
      </c>
      <c r="C161" s="1" t="n">
        <v>45971</v>
      </c>
      <c r="D161" t="inlineStr">
        <is>
          <t>SÖDERMANLANDS LÄN</t>
        </is>
      </c>
      <c r="E161" t="inlineStr">
        <is>
          <t>STRÄNGNÄS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59060-2022</t>
        </is>
      </c>
      <c r="B162" s="1" t="n">
        <v>44904.32708333333</v>
      </c>
      <c r="C162" s="1" t="n">
        <v>45971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45971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10350-2023</t>
        </is>
      </c>
      <c r="B164" s="1" t="n">
        <v>44987</v>
      </c>
      <c r="C164" s="1" t="n">
        <v>45971</v>
      </c>
      <c r="D164" t="inlineStr">
        <is>
          <t>SÖDERMANLANDS LÄN</t>
        </is>
      </c>
      <c r="E164" t="inlineStr">
        <is>
          <t>STRÄNGNÄS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6558-2021</t>
        </is>
      </c>
      <c r="B165" s="1" t="n">
        <v>44236</v>
      </c>
      <c r="C165" s="1" t="n">
        <v>45971</v>
      </c>
      <c r="D165" t="inlineStr">
        <is>
          <t>SÖDERMANLANDS LÄN</t>
        </is>
      </c>
      <c r="E165" t="inlineStr">
        <is>
          <t>STRÄNGNÄS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5849-2023</t>
        </is>
      </c>
      <c r="B166" s="1" t="n">
        <v>44963.58222222222</v>
      </c>
      <c r="C166" s="1" t="n">
        <v>45971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37429-2021</t>
        </is>
      </c>
      <c r="B167" s="1" t="n">
        <v>44398</v>
      </c>
      <c r="C167" s="1" t="n">
        <v>45971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37431-2021</t>
        </is>
      </c>
      <c r="B168" s="1" t="n">
        <v>44398</v>
      </c>
      <c r="C168" s="1" t="n">
        <v>45971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3037-2022</t>
        </is>
      </c>
      <c r="B169" s="1" t="n">
        <v>44581</v>
      </c>
      <c r="C169" s="1" t="n">
        <v>45971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43669-2022</t>
        </is>
      </c>
      <c r="B170" s="1" t="n">
        <v>44834</v>
      </c>
      <c r="C170" s="1" t="n">
        <v>45971</v>
      </c>
      <c r="D170" t="inlineStr">
        <is>
          <t>SÖDERMANLANDS LÄN</t>
        </is>
      </c>
      <c r="E170" t="inlineStr">
        <is>
          <t>STRÄNGNÄS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14847-2023</t>
        </is>
      </c>
      <c r="B171" s="1" t="n">
        <v>45014</v>
      </c>
      <c r="C171" s="1" t="n">
        <v>45971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4335-2023</t>
        </is>
      </c>
      <c r="B172" s="1" t="n">
        <v>44953.80351851852</v>
      </c>
      <c r="C172" s="1" t="n">
        <v>45971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25542-2023</t>
        </is>
      </c>
      <c r="B173" s="1" t="n">
        <v>45089</v>
      </c>
      <c r="C173" s="1" t="n">
        <v>45971</v>
      </c>
      <c r="D173" t="inlineStr">
        <is>
          <t>SÖDERMANLANDS LÄN</t>
        </is>
      </c>
      <c r="E173" t="inlineStr">
        <is>
          <t>STRÄNGNÄS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63732-2021</t>
        </is>
      </c>
      <c r="B174" s="1" t="n">
        <v>44508</v>
      </c>
      <c r="C174" s="1" t="n">
        <v>45971</v>
      </c>
      <c r="D174" t="inlineStr">
        <is>
          <t>SÖDERMANLANDS LÄN</t>
        </is>
      </c>
      <c r="E174" t="inlineStr">
        <is>
          <t>STRÄNGNÄS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20938-2023</t>
        </is>
      </c>
      <c r="B175" s="1" t="n">
        <v>45061</v>
      </c>
      <c r="C175" s="1" t="n">
        <v>45971</v>
      </c>
      <c r="D175" t="inlineStr">
        <is>
          <t>SÖDERMANLANDS LÄN</t>
        </is>
      </c>
      <c r="E175" t="inlineStr">
        <is>
          <t>STRÄNGNÄS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26282-2023</t>
        </is>
      </c>
      <c r="B176" s="1" t="n">
        <v>45091.62641203704</v>
      </c>
      <c r="C176" s="1" t="n">
        <v>45971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57048-2021</t>
        </is>
      </c>
      <c r="B177" s="1" t="n">
        <v>44481</v>
      </c>
      <c r="C177" s="1" t="n">
        <v>45971</v>
      </c>
      <c r="D177" t="inlineStr">
        <is>
          <t>SÖDERMANLANDS LÄN</t>
        </is>
      </c>
      <c r="E177" t="inlineStr">
        <is>
          <t>STRÄNGNÄS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34364-2023</t>
        </is>
      </c>
      <c r="B178" s="1" t="n">
        <v>45131</v>
      </c>
      <c r="C178" s="1" t="n">
        <v>45971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243-2023</t>
        </is>
      </c>
      <c r="B179" s="1" t="n">
        <v>44928</v>
      </c>
      <c r="C179" s="1" t="n">
        <v>45971</v>
      </c>
      <c r="D179" t="inlineStr">
        <is>
          <t>SÖDERMANLANDS LÄN</t>
        </is>
      </c>
      <c r="E179" t="inlineStr">
        <is>
          <t>STRÄNGNÄS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13807-2023</t>
        </is>
      </c>
      <c r="B180" s="1" t="n">
        <v>45007</v>
      </c>
      <c r="C180" s="1" t="n">
        <v>45971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51763-2022</t>
        </is>
      </c>
      <c r="B181" s="1" t="n">
        <v>44872</v>
      </c>
      <c r="C181" s="1" t="n">
        <v>45971</v>
      </c>
      <c r="D181" t="inlineStr">
        <is>
          <t>SÖDERMANLANDS LÄN</t>
        </is>
      </c>
      <c r="E181" t="inlineStr">
        <is>
          <t>STRÄNGNÄS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56988-2024</t>
        </is>
      </c>
      <c r="B182" s="1" t="n">
        <v>45628.69844907407</v>
      </c>
      <c r="C182" s="1" t="n">
        <v>45971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58092-2023</t>
        </is>
      </c>
      <c r="B183" s="1" t="n">
        <v>45248</v>
      </c>
      <c r="C183" s="1" t="n">
        <v>45971</v>
      </c>
      <c r="D183" t="inlineStr">
        <is>
          <t>SÖDERMANLANDS LÄN</t>
        </is>
      </c>
      <c r="E183" t="inlineStr">
        <is>
          <t>STRÄNGNÄS</t>
        </is>
      </c>
      <c r="G183" t="n">
        <v>28.5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864-2023</t>
        </is>
      </c>
      <c r="B184" s="1" t="n">
        <v>44931.63074074074</v>
      </c>
      <c r="C184" s="1" t="n">
        <v>45971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54610-2024</t>
        </is>
      </c>
      <c r="B185" s="1" t="n">
        <v>45617</v>
      </c>
      <c r="C185" s="1" t="n">
        <v>45971</v>
      </c>
      <c r="D185" t="inlineStr">
        <is>
          <t>SÖDERMANLANDS LÄN</t>
        </is>
      </c>
      <c r="E185" t="inlineStr">
        <is>
          <t>STRÄNGNÄS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20815-2023</t>
        </is>
      </c>
      <c r="B186" s="1" t="n">
        <v>45058</v>
      </c>
      <c r="C186" s="1" t="n">
        <v>45971</v>
      </c>
      <c r="D186" t="inlineStr">
        <is>
          <t>SÖDERMANLANDS LÄN</t>
        </is>
      </c>
      <c r="E186" t="inlineStr">
        <is>
          <t>STRÄNGNÄS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67925-2021</t>
        </is>
      </c>
      <c r="B187" s="1" t="n">
        <v>44525</v>
      </c>
      <c r="C187" s="1" t="n">
        <v>45971</v>
      </c>
      <c r="D187" t="inlineStr">
        <is>
          <t>SÖDERMANLANDS LÄN</t>
        </is>
      </c>
      <c r="E187" t="inlineStr">
        <is>
          <t>STRÄNGNÄS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13259-2022</t>
        </is>
      </c>
      <c r="B188" s="1" t="n">
        <v>44644</v>
      </c>
      <c r="C188" s="1" t="n">
        <v>45971</v>
      </c>
      <c r="D188" t="inlineStr">
        <is>
          <t>SÖDERMANLANDS LÄN</t>
        </is>
      </c>
      <c r="E188" t="inlineStr">
        <is>
          <t>STRÄNGNÄS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22521-2023</t>
        </is>
      </c>
      <c r="B189" s="1" t="n">
        <v>45071.40663194445</v>
      </c>
      <c r="C189" s="1" t="n">
        <v>45971</v>
      </c>
      <c r="D189" t="inlineStr">
        <is>
          <t>SÖDERMANLANDS LÄN</t>
        </is>
      </c>
      <c r="E189" t="inlineStr">
        <is>
          <t>STRÄNGNÄS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43946-2022</t>
        </is>
      </c>
      <c r="B190" s="1" t="n">
        <v>44838.585</v>
      </c>
      <c r="C190" s="1" t="n">
        <v>45971</v>
      </c>
      <c r="D190" t="inlineStr">
        <is>
          <t>SÖDERMANLANDS LÄN</t>
        </is>
      </c>
      <c r="E190" t="inlineStr">
        <is>
          <t>STRÄNGNÄS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15193-2023</t>
        </is>
      </c>
      <c r="B191" s="1" t="n">
        <v>45016</v>
      </c>
      <c r="C191" s="1" t="n">
        <v>45971</v>
      </c>
      <c r="D191" t="inlineStr">
        <is>
          <t>SÖDERMANLANDS LÄN</t>
        </is>
      </c>
      <c r="E191" t="inlineStr">
        <is>
          <t>STRÄNGNÄS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61567-2024</t>
        </is>
      </c>
      <c r="B192" s="1" t="n">
        <v>45646.61570601852</v>
      </c>
      <c r="C192" s="1" t="n">
        <v>45971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16414-2022</t>
        </is>
      </c>
      <c r="B193" s="1" t="n">
        <v>44671</v>
      </c>
      <c r="C193" s="1" t="n">
        <v>45971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56987-2024</t>
        </is>
      </c>
      <c r="B194" s="1" t="n">
        <v>45628.69790509259</v>
      </c>
      <c r="C194" s="1" t="n">
        <v>45971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8524-2025</t>
        </is>
      </c>
      <c r="B195" s="1" t="n">
        <v>45709</v>
      </c>
      <c r="C195" s="1" t="n">
        <v>45971</v>
      </c>
      <c r="D195" t="inlineStr">
        <is>
          <t>SÖDERMANLANDS LÄN</t>
        </is>
      </c>
      <c r="E195" t="inlineStr">
        <is>
          <t>STRÄNGNÄS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64355-2023</t>
        </is>
      </c>
      <c r="B196" s="1" t="n">
        <v>45280.49060185185</v>
      </c>
      <c r="C196" s="1" t="n">
        <v>45971</v>
      </c>
      <c r="D196" t="inlineStr">
        <is>
          <t>SÖDERMANLANDS LÄN</t>
        </is>
      </c>
      <c r="E196" t="inlineStr">
        <is>
          <t>STRÄNGNÄS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23541-2023</t>
        </is>
      </c>
      <c r="B197" s="1" t="n">
        <v>45077</v>
      </c>
      <c r="C197" s="1" t="n">
        <v>45971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48827-2023</t>
        </is>
      </c>
      <c r="B198" s="1" t="n">
        <v>45204</v>
      </c>
      <c r="C198" s="1" t="n">
        <v>45971</v>
      </c>
      <c r="D198" t="inlineStr">
        <is>
          <t>SÖDERMANLANDS LÄN</t>
        </is>
      </c>
      <c r="E198" t="inlineStr">
        <is>
          <t>STRÄNGNÄS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48875-2023</t>
        </is>
      </c>
      <c r="B199" s="1" t="n">
        <v>45204</v>
      </c>
      <c r="C199" s="1" t="n">
        <v>45971</v>
      </c>
      <c r="D199" t="inlineStr">
        <is>
          <t>SÖDERMANLANDS LÄN</t>
        </is>
      </c>
      <c r="E199" t="inlineStr">
        <is>
          <t>STRÄNGNÄS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9511-2022</t>
        </is>
      </c>
      <c r="B200" s="1" t="n">
        <v>44616</v>
      </c>
      <c r="C200" s="1" t="n">
        <v>45971</v>
      </c>
      <c r="D200" t="inlineStr">
        <is>
          <t>SÖDERMANLANDS LÄN</t>
        </is>
      </c>
      <c r="E200" t="inlineStr">
        <is>
          <t>STRÄNGNÄS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12619-2025</t>
        </is>
      </c>
      <c r="B201" s="1" t="n">
        <v>45733.35274305556</v>
      </c>
      <c r="C201" s="1" t="n">
        <v>45971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42726-2023</t>
        </is>
      </c>
      <c r="B202" s="1" t="n">
        <v>45181</v>
      </c>
      <c r="C202" s="1" t="n">
        <v>45971</v>
      </c>
      <c r="D202" t="inlineStr">
        <is>
          <t>SÖDERMANLANDS LÄN</t>
        </is>
      </c>
      <c r="E202" t="inlineStr">
        <is>
          <t>STRÄNGNÄS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45971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60749-2021</t>
        </is>
      </c>
      <c r="B204" s="1" t="n">
        <v>44496.90982638889</v>
      </c>
      <c r="C204" s="1" t="n">
        <v>45971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45971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3824-2024</t>
        </is>
      </c>
      <c r="B206" s="1" t="n">
        <v>45321</v>
      </c>
      <c r="C206" s="1" t="n">
        <v>45971</v>
      </c>
      <c r="D206" t="inlineStr">
        <is>
          <t>SÖDERMANLANDS LÄN</t>
        </is>
      </c>
      <c r="E206" t="inlineStr">
        <is>
          <t>STRÄNGNÄS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9232-2023</t>
        </is>
      </c>
      <c r="B207" s="1" t="n">
        <v>44980</v>
      </c>
      <c r="C207" s="1" t="n">
        <v>45971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10346-2023</t>
        </is>
      </c>
      <c r="B208" s="1" t="n">
        <v>44987</v>
      </c>
      <c r="C208" s="1" t="n">
        <v>45971</v>
      </c>
      <c r="D208" t="inlineStr">
        <is>
          <t>SÖDERMANLANDS LÄN</t>
        </is>
      </c>
      <c r="E208" t="inlineStr">
        <is>
          <t>STRÄNGNÄS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18879-2023</t>
        </is>
      </c>
      <c r="B209" s="1" t="n">
        <v>45044</v>
      </c>
      <c r="C209" s="1" t="n">
        <v>45971</v>
      </c>
      <c r="D209" t="inlineStr">
        <is>
          <t>SÖDERMANLANDS LÄN</t>
        </is>
      </c>
      <c r="E209" t="inlineStr">
        <is>
          <t>STRÄNGNÄS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58022-2022</t>
        </is>
      </c>
      <c r="B210" s="1" t="n">
        <v>44900</v>
      </c>
      <c r="C210" s="1" t="n">
        <v>45971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35495-2023</t>
        </is>
      </c>
      <c r="B211" s="1" t="n">
        <v>45146.74372685186</v>
      </c>
      <c r="C211" s="1" t="n">
        <v>45971</v>
      </c>
      <c r="D211" t="inlineStr">
        <is>
          <t>SÖDERMANLANDS LÄN</t>
        </is>
      </c>
      <c r="E211" t="inlineStr">
        <is>
          <t>STRÄNGNÄS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43387-2022</t>
        </is>
      </c>
      <c r="B212" s="1" t="n">
        <v>44834</v>
      </c>
      <c r="C212" s="1" t="n">
        <v>45971</v>
      </c>
      <c r="D212" t="inlineStr">
        <is>
          <t>SÖDERMANLANDS LÄN</t>
        </is>
      </c>
      <c r="E212" t="inlineStr">
        <is>
          <t>STRÄNGNÄS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1818-2021</t>
        </is>
      </c>
      <c r="B213" s="1" t="n">
        <v>44210</v>
      </c>
      <c r="C213" s="1" t="n">
        <v>45971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1865-2021</t>
        </is>
      </c>
      <c r="B214" s="1" t="n">
        <v>44210</v>
      </c>
      <c r="C214" s="1" t="n">
        <v>45971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9034-2023</t>
        </is>
      </c>
      <c r="B215" s="1" t="n">
        <v>44979</v>
      </c>
      <c r="C215" s="1" t="n">
        <v>45971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5805-2022</t>
        </is>
      </c>
      <c r="B216" s="1" t="n">
        <v>44596</v>
      </c>
      <c r="C216" s="1" t="n">
        <v>45971</v>
      </c>
      <c r="D216" t="inlineStr">
        <is>
          <t>SÖDERMANLANDS LÄN</t>
        </is>
      </c>
      <c r="E216" t="inlineStr">
        <is>
          <t>STRÄNGNÄS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9625-2022</t>
        </is>
      </c>
      <c r="B217" s="1" t="n">
        <v>44617</v>
      </c>
      <c r="C217" s="1" t="n">
        <v>45971</v>
      </c>
      <c r="D217" t="inlineStr">
        <is>
          <t>SÖDERMANLANDS LÄN</t>
        </is>
      </c>
      <c r="E217" t="inlineStr">
        <is>
          <t>STRÄNGNÄS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22522-2023</t>
        </is>
      </c>
      <c r="B218" s="1" t="n">
        <v>45071</v>
      </c>
      <c r="C218" s="1" t="n">
        <v>45971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12546-2025</t>
        </is>
      </c>
      <c r="B219" s="1" t="n">
        <v>45730</v>
      </c>
      <c r="C219" s="1" t="n">
        <v>45971</v>
      </c>
      <c r="D219" t="inlineStr">
        <is>
          <t>SÖDERMANLANDS LÄN</t>
        </is>
      </c>
      <c r="E219" t="inlineStr">
        <is>
          <t>STRÄNGNÄS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66296-2021</t>
        </is>
      </c>
      <c r="B220" s="1" t="n">
        <v>44518</v>
      </c>
      <c r="C220" s="1" t="n">
        <v>45971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45984-2022</t>
        </is>
      </c>
      <c r="B221" s="1" t="n">
        <v>44846.71223379629</v>
      </c>
      <c r="C221" s="1" t="n">
        <v>45971</v>
      </c>
      <c r="D221" t="inlineStr">
        <is>
          <t>SÖDERMANLANDS LÄN</t>
        </is>
      </c>
      <c r="E221" t="inlineStr">
        <is>
          <t>STRÄNGNÄS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4320-2023</t>
        </is>
      </c>
      <c r="B222" s="1" t="n">
        <v>44953</v>
      </c>
      <c r="C222" s="1" t="n">
        <v>45971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1305-2023</t>
        </is>
      </c>
      <c r="B223" s="1" t="n">
        <v>44936.5134375</v>
      </c>
      <c r="C223" s="1" t="n">
        <v>45971</v>
      </c>
      <c r="D223" t="inlineStr">
        <is>
          <t>SÖDERMANLANDS LÄN</t>
        </is>
      </c>
      <c r="E223" t="inlineStr">
        <is>
          <t>STRÄNGNÄS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58241-2022</t>
        </is>
      </c>
      <c r="B224" s="1" t="n">
        <v>44901</v>
      </c>
      <c r="C224" s="1" t="n">
        <v>45971</v>
      </c>
      <c r="D224" t="inlineStr">
        <is>
          <t>SÖDERMANLANDS LÄN</t>
        </is>
      </c>
      <c r="E224" t="inlineStr">
        <is>
          <t>STRÄNGNÄS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33342-2023</t>
        </is>
      </c>
      <c r="B225" s="1" t="n">
        <v>45128</v>
      </c>
      <c r="C225" s="1" t="n">
        <v>45971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15397-2022</t>
        </is>
      </c>
      <c r="B226" s="1" t="n">
        <v>44659</v>
      </c>
      <c r="C226" s="1" t="n">
        <v>45971</v>
      </c>
      <c r="D226" t="inlineStr">
        <is>
          <t>SÖDERMANLANDS LÄN</t>
        </is>
      </c>
      <c r="E226" t="inlineStr">
        <is>
          <t>STRÄNGNÄS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48367-2025</t>
        </is>
      </c>
      <c r="B227" s="1" t="n">
        <v>45933</v>
      </c>
      <c r="C227" s="1" t="n">
        <v>45971</v>
      </c>
      <c r="D227" t="inlineStr">
        <is>
          <t>SÖDERMANLANDS LÄN</t>
        </is>
      </c>
      <c r="E227" t="inlineStr">
        <is>
          <t>STRÄNGNÄS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66000-2020</t>
        </is>
      </c>
      <c r="B228" s="1" t="n">
        <v>44175</v>
      </c>
      <c r="C228" s="1" t="n">
        <v>45971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Övriga statliga verk och myndigheter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48371-2025</t>
        </is>
      </c>
      <c r="B229" s="1" t="n">
        <v>45933</v>
      </c>
      <c r="C229" s="1" t="n">
        <v>45971</v>
      </c>
      <c r="D229" t="inlineStr">
        <is>
          <t>SÖDERMANLANDS LÄN</t>
        </is>
      </c>
      <c r="E229" t="inlineStr">
        <is>
          <t>STRÄNGNÄS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65153-2023</t>
        </is>
      </c>
      <c r="B230" s="1" t="n">
        <v>45288</v>
      </c>
      <c r="C230" s="1" t="n">
        <v>45971</v>
      </c>
      <c r="D230" t="inlineStr">
        <is>
          <t>SÖDERMANLANDS LÄN</t>
        </is>
      </c>
      <c r="E230" t="inlineStr">
        <is>
          <t>STRÄNGNÄS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10151-2024</t>
        </is>
      </c>
      <c r="B231" s="1" t="n">
        <v>45364</v>
      </c>
      <c r="C231" s="1" t="n">
        <v>45971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Allmännings- och besparingsskogar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32552-2023</t>
        </is>
      </c>
      <c r="B232" s="1" t="n">
        <v>45121</v>
      </c>
      <c r="C232" s="1" t="n">
        <v>45971</v>
      </c>
      <c r="D232" t="inlineStr">
        <is>
          <t>SÖDERMANLANDS LÄN</t>
        </is>
      </c>
      <c r="E232" t="inlineStr">
        <is>
          <t>STRÄNGNÄS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1117-2022</t>
        </is>
      </c>
      <c r="B233" s="1" t="n">
        <v>44571</v>
      </c>
      <c r="C233" s="1" t="n">
        <v>45971</v>
      </c>
      <c r="D233" t="inlineStr">
        <is>
          <t>SÖDERMANLANDS LÄN</t>
        </is>
      </c>
      <c r="E233" t="inlineStr">
        <is>
          <t>STRÄNGNÄS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48823-2023</t>
        </is>
      </c>
      <c r="B234" s="1" t="n">
        <v>45209</v>
      </c>
      <c r="C234" s="1" t="n">
        <v>45971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48886-2023</t>
        </is>
      </c>
      <c r="B235" s="1" t="n">
        <v>45209</v>
      </c>
      <c r="C235" s="1" t="n">
        <v>45971</v>
      </c>
      <c r="D235" t="inlineStr">
        <is>
          <t>SÖDERMANLANDS LÄN</t>
        </is>
      </c>
      <c r="E235" t="inlineStr">
        <is>
          <t>STRÄNGNÄS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45971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54656-2023</t>
        </is>
      </c>
      <c r="B237" s="1" t="n">
        <v>45235.49327546296</v>
      </c>
      <c r="C237" s="1" t="n">
        <v>45971</v>
      </c>
      <c r="D237" t="inlineStr">
        <is>
          <t>SÖDERMANLANDS LÄN</t>
        </is>
      </c>
      <c r="E237" t="inlineStr">
        <is>
          <t>STRÄNGNÄS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13504-2021</t>
        </is>
      </c>
      <c r="B238" s="1" t="n">
        <v>44273</v>
      </c>
      <c r="C238" s="1" t="n">
        <v>45971</v>
      </c>
      <c r="D238" t="inlineStr">
        <is>
          <t>SÖDERMANLANDS LÄN</t>
        </is>
      </c>
      <c r="E238" t="inlineStr">
        <is>
          <t>STRÄNGNÄS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39448-2024</t>
        </is>
      </c>
      <c r="B239" s="1" t="n">
        <v>45551</v>
      </c>
      <c r="C239" s="1" t="n">
        <v>45971</v>
      </c>
      <c r="D239" t="inlineStr">
        <is>
          <t>SÖDERMANLANDS LÄN</t>
        </is>
      </c>
      <c r="E239" t="inlineStr">
        <is>
          <t>STRÄNGNÄS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36469-2023</t>
        </is>
      </c>
      <c r="B240" s="1" t="n">
        <v>45152</v>
      </c>
      <c r="C240" s="1" t="n">
        <v>45971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1251-2023</t>
        </is>
      </c>
      <c r="B241" s="1" t="n">
        <v>44936</v>
      </c>
      <c r="C241" s="1" t="n">
        <v>45971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14440-2021</t>
        </is>
      </c>
      <c r="B242" s="1" t="n">
        <v>44279</v>
      </c>
      <c r="C242" s="1" t="n">
        <v>45971</v>
      </c>
      <c r="D242" t="inlineStr">
        <is>
          <t>SÖDERMANLANDS LÄN</t>
        </is>
      </c>
      <c r="E242" t="inlineStr">
        <is>
          <t>STRÄNGNÄS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4114-2025</t>
        </is>
      </c>
      <c r="B243" s="1" t="n">
        <v>45684.71578703704</v>
      </c>
      <c r="C243" s="1" t="n">
        <v>45971</v>
      </c>
      <c r="D243" t="inlineStr">
        <is>
          <t>SÖDERMANLANDS LÄN</t>
        </is>
      </c>
      <c r="E243" t="inlineStr">
        <is>
          <t>STRÄNGNÄS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4115-2025</t>
        </is>
      </c>
      <c r="B244" s="1" t="n">
        <v>45684.71832175926</v>
      </c>
      <c r="C244" s="1" t="n">
        <v>45971</v>
      </c>
      <c r="D244" t="inlineStr">
        <is>
          <t>SÖDERMANLANDS LÄN</t>
        </is>
      </c>
      <c r="E244" t="inlineStr">
        <is>
          <t>STRÄNGNÄS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11690-2023</t>
        </is>
      </c>
      <c r="B245" s="1" t="n">
        <v>44992</v>
      </c>
      <c r="C245" s="1" t="n">
        <v>45971</v>
      </c>
      <c r="D245" t="inlineStr">
        <is>
          <t>SÖDERMANLANDS LÄN</t>
        </is>
      </c>
      <c r="E245" t="inlineStr">
        <is>
          <t>STRÄNGNÄS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53897-2022</t>
        </is>
      </c>
      <c r="B246" s="1" t="n">
        <v>44880.74898148148</v>
      </c>
      <c r="C246" s="1" t="n">
        <v>45971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40112-2025</t>
        </is>
      </c>
      <c r="B247" s="1" t="n">
        <v>45894.49456018519</v>
      </c>
      <c r="C247" s="1" t="n">
        <v>45971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45669-2022</t>
        </is>
      </c>
      <c r="B248" s="1" t="n">
        <v>44845.73668981482</v>
      </c>
      <c r="C248" s="1" t="n">
        <v>45971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Kyrkan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9234-2023</t>
        </is>
      </c>
      <c r="B249" s="1" t="n">
        <v>44980</v>
      </c>
      <c r="C249" s="1" t="n">
        <v>45971</v>
      </c>
      <c r="D249" t="inlineStr">
        <is>
          <t>SÖDERMANLANDS LÄN</t>
        </is>
      </c>
      <c r="E249" t="inlineStr">
        <is>
          <t>STRÄNGNÄS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9237-2023</t>
        </is>
      </c>
      <c r="B250" s="1" t="n">
        <v>44980</v>
      </c>
      <c r="C250" s="1" t="n">
        <v>45971</v>
      </c>
      <c r="D250" t="inlineStr">
        <is>
          <t>SÖDERMANLANDS LÄN</t>
        </is>
      </c>
      <c r="E250" t="inlineStr">
        <is>
          <t>STRÄNGNÄS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3118-2023</t>
        </is>
      </c>
      <c r="B251" s="1" t="n">
        <v>44946.48351851852</v>
      </c>
      <c r="C251" s="1" t="n">
        <v>45971</v>
      </c>
      <c r="D251" t="inlineStr">
        <is>
          <t>SÖDERMANLANDS LÄN</t>
        </is>
      </c>
      <c r="E251" t="inlineStr">
        <is>
          <t>STRÄNGNÄS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42750-2023</t>
        </is>
      </c>
      <c r="B252" s="1" t="n">
        <v>45177</v>
      </c>
      <c r="C252" s="1" t="n">
        <v>45971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28104-2025</t>
        </is>
      </c>
      <c r="B253" s="1" t="n">
        <v>45817</v>
      </c>
      <c r="C253" s="1" t="n">
        <v>45971</v>
      </c>
      <c r="D253" t="inlineStr">
        <is>
          <t>SÖDERMANLANDS LÄN</t>
        </is>
      </c>
      <c r="E253" t="inlineStr">
        <is>
          <t>STRÄNGNÄS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40279-2025</t>
        </is>
      </c>
      <c r="B254" s="1" t="n">
        <v>45895</v>
      </c>
      <c r="C254" s="1" t="n">
        <v>45971</v>
      </c>
      <c r="D254" t="inlineStr">
        <is>
          <t>SÖDERMANLANDS LÄN</t>
        </is>
      </c>
      <c r="E254" t="inlineStr">
        <is>
          <t>STRÄNGNÄS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52904-2023</t>
        </is>
      </c>
      <c r="B255" s="1" t="n">
        <v>45226</v>
      </c>
      <c r="C255" s="1" t="n">
        <v>45971</v>
      </c>
      <c r="D255" t="inlineStr">
        <is>
          <t>SÖDERMANLANDS LÄN</t>
        </is>
      </c>
      <c r="E255" t="inlineStr">
        <is>
          <t>STRÄNGNÄS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20754-2025</t>
        </is>
      </c>
      <c r="B256" s="1" t="n">
        <v>45776</v>
      </c>
      <c r="C256" s="1" t="n">
        <v>45971</v>
      </c>
      <c r="D256" t="inlineStr">
        <is>
          <t>SÖDERMANLANDS LÄN</t>
        </is>
      </c>
      <c r="E256" t="inlineStr">
        <is>
          <t>STRÄNGNÄS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40605-2025</t>
        </is>
      </c>
      <c r="B257" s="1" t="n">
        <v>45896</v>
      </c>
      <c r="C257" s="1" t="n">
        <v>45971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56989-2024</t>
        </is>
      </c>
      <c r="B258" s="1" t="n">
        <v>45628.69885416667</v>
      </c>
      <c r="C258" s="1" t="n">
        <v>45971</v>
      </c>
      <c r="D258" t="inlineStr">
        <is>
          <t>SÖDERMANLANDS LÄN</t>
        </is>
      </c>
      <c r="E258" t="inlineStr">
        <is>
          <t>STRÄNGNÄS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52355-2023</t>
        </is>
      </c>
      <c r="B259" s="1" t="n">
        <v>45224</v>
      </c>
      <c r="C259" s="1" t="n">
        <v>45971</v>
      </c>
      <c r="D259" t="inlineStr">
        <is>
          <t>SÖDERMANLANDS LÄN</t>
        </is>
      </c>
      <c r="E259" t="inlineStr">
        <is>
          <t>STRÄNGNÄS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12123-2023</t>
        </is>
      </c>
      <c r="B260" s="1" t="n">
        <v>44998.43070601852</v>
      </c>
      <c r="C260" s="1" t="n">
        <v>45971</v>
      </c>
      <c r="D260" t="inlineStr">
        <is>
          <t>SÖDERMANLANDS LÄN</t>
        </is>
      </c>
      <c r="E260" t="inlineStr">
        <is>
          <t>STRÄNGNÄS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65160-2023</t>
        </is>
      </c>
      <c r="B261" s="1" t="n">
        <v>45288</v>
      </c>
      <c r="C261" s="1" t="n">
        <v>45971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65163-2023</t>
        </is>
      </c>
      <c r="B262" s="1" t="n">
        <v>45288</v>
      </c>
      <c r="C262" s="1" t="n">
        <v>45971</v>
      </c>
      <c r="D262" t="inlineStr">
        <is>
          <t>SÖDERMANLANDS LÄN</t>
        </is>
      </c>
      <c r="E262" t="inlineStr">
        <is>
          <t>STRÄNGNÄS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866-2023</t>
        </is>
      </c>
      <c r="B263" s="1" t="n">
        <v>44931.63733796297</v>
      </c>
      <c r="C263" s="1" t="n">
        <v>45971</v>
      </c>
      <c r="D263" t="inlineStr">
        <is>
          <t>SÖDERMANLANDS LÄN</t>
        </is>
      </c>
      <c r="E263" t="inlineStr">
        <is>
          <t>STRÄNGNÄS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48926-2021</t>
        </is>
      </c>
      <c r="B264" s="1" t="n">
        <v>44453</v>
      </c>
      <c r="C264" s="1" t="n">
        <v>45971</v>
      </c>
      <c r="D264" t="inlineStr">
        <is>
          <t>SÖDERMANLANDS LÄN</t>
        </is>
      </c>
      <c r="E264" t="inlineStr">
        <is>
          <t>STRÄNGNÄS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40611-2025</t>
        </is>
      </c>
      <c r="B265" s="1" t="n">
        <v>45896</v>
      </c>
      <c r="C265" s="1" t="n">
        <v>45971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60764-2021</t>
        </is>
      </c>
      <c r="B266" s="1" t="n">
        <v>44496</v>
      </c>
      <c r="C266" s="1" t="n">
        <v>45971</v>
      </c>
      <c r="D266" t="inlineStr">
        <is>
          <t>SÖDERMANLANDS LÄN</t>
        </is>
      </c>
      <c r="E266" t="inlineStr">
        <is>
          <t>STRÄNGNÄS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61656-2023</t>
        </is>
      </c>
      <c r="B267" s="1" t="n">
        <v>45265.58905092593</v>
      </c>
      <c r="C267" s="1" t="n">
        <v>45971</v>
      </c>
      <c r="D267" t="inlineStr">
        <is>
          <t>SÖDERMANLANDS LÄN</t>
        </is>
      </c>
      <c r="E267" t="inlineStr">
        <is>
          <t>STRÄNGNÄS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21288-2025</t>
        </is>
      </c>
      <c r="B268" s="1" t="n">
        <v>45779</v>
      </c>
      <c r="C268" s="1" t="n">
        <v>45971</v>
      </c>
      <c r="D268" t="inlineStr">
        <is>
          <t>SÖDERMANLANDS LÄN</t>
        </is>
      </c>
      <c r="E268" t="inlineStr">
        <is>
          <t>STRÄNGNÄS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41234-2025</t>
        </is>
      </c>
      <c r="B269" s="1" t="n">
        <v>45898</v>
      </c>
      <c r="C269" s="1" t="n">
        <v>45971</v>
      </c>
      <c r="D269" t="inlineStr">
        <is>
          <t>SÖDERMANLANDS LÄN</t>
        </is>
      </c>
      <c r="E269" t="inlineStr">
        <is>
          <t>STRÄNGNÄS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65161-2023</t>
        </is>
      </c>
      <c r="B270" s="1" t="n">
        <v>45288</v>
      </c>
      <c r="C270" s="1" t="n">
        <v>45971</v>
      </c>
      <c r="D270" t="inlineStr">
        <is>
          <t>SÖDERMANLANDS LÄN</t>
        </is>
      </c>
      <c r="E270" t="inlineStr">
        <is>
          <t>STRÄNGNÄS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8493-2022</t>
        </is>
      </c>
      <c r="B271" s="1" t="n">
        <v>44613.38766203704</v>
      </c>
      <c r="C271" s="1" t="n">
        <v>45971</v>
      </c>
      <c r="D271" t="inlineStr">
        <is>
          <t>SÖDERMANLANDS LÄN</t>
        </is>
      </c>
      <c r="E271" t="inlineStr">
        <is>
          <t>STRÄNGNÄS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29970-2021</t>
        </is>
      </c>
      <c r="B272" s="1" t="n">
        <v>44363</v>
      </c>
      <c r="C272" s="1" t="n">
        <v>45971</v>
      </c>
      <c r="D272" t="inlineStr">
        <is>
          <t>SÖDERMANLANDS LÄN</t>
        </is>
      </c>
      <c r="E272" t="inlineStr">
        <is>
          <t>STRÄNGNÄS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36811-2022</t>
        </is>
      </c>
      <c r="B273" s="1" t="n">
        <v>44805.53609953704</v>
      </c>
      <c r="C273" s="1" t="n">
        <v>45971</v>
      </c>
      <c r="D273" t="inlineStr">
        <is>
          <t>SÖDERMANLANDS LÄN</t>
        </is>
      </c>
      <c r="E273" t="inlineStr">
        <is>
          <t>STRÄNGNÄS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12818-2023</t>
        </is>
      </c>
      <c r="B274" s="1" t="n">
        <v>45001</v>
      </c>
      <c r="C274" s="1" t="n">
        <v>45971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41231-2025</t>
        </is>
      </c>
      <c r="B275" s="1" t="n">
        <v>45898</v>
      </c>
      <c r="C275" s="1" t="n">
        <v>45971</v>
      </c>
      <c r="D275" t="inlineStr">
        <is>
          <t>SÖDERMANLANDS LÄN</t>
        </is>
      </c>
      <c r="E275" t="inlineStr">
        <is>
          <t>STRÄNGNÄS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22530-2023</t>
        </is>
      </c>
      <c r="B276" s="1" t="n">
        <v>45071.42302083333</v>
      </c>
      <c r="C276" s="1" t="n">
        <v>45971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20590-2025</t>
        </is>
      </c>
      <c r="B277" s="1" t="n">
        <v>45775</v>
      </c>
      <c r="C277" s="1" t="n">
        <v>45971</v>
      </c>
      <c r="D277" t="inlineStr">
        <is>
          <t>SÖDERMANLANDS LÄN</t>
        </is>
      </c>
      <c r="E277" t="inlineStr">
        <is>
          <t>STRÄNGNÄS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14793-2025</t>
        </is>
      </c>
      <c r="B278" s="1" t="n">
        <v>45742.82775462963</v>
      </c>
      <c r="C278" s="1" t="n">
        <v>45971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52452-2024</t>
        </is>
      </c>
      <c r="B279" s="1" t="n">
        <v>45609</v>
      </c>
      <c r="C279" s="1" t="n">
        <v>45971</v>
      </c>
      <c r="D279" t="inlineStr">
        <is>
          <t>SÖDERMANLANDS LÄN</t>
        </is>
      </c>
      <c r="E279" t="inlineStr">
        <is>
          <t>STRÄNGNÄS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2468-2022</t>
        </is>
      </c>
      <c r="B280" s="1" t="n">
        <v>44579</v>
      </c>
      <c r="C280" s="1" t="n">
        <v>45971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Övriga Aktiebolag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57231-2024</t>
        </is>
      </c>
      <c r="B281" s="1" t="n">
        <v>45629.54146990741</v>
      </c>
      <c r="C281" s="1" t="n">
        <v>45971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30999-2025</t>
        </is>
      </c>
      <c r="B282" s="1" t="n">
        <v>45832.49226851852</v>
      </c>
      <c r="C282" s="1" t="n">
        <v>45971</v>
      </c>
      <c r="D282" t="inlineStr">
        <is>
          <t>SÖDERMANLANDS LÄN</t>
        </is>
      </c>
      <c r="E282" t="inlineStr">
        <is>
          <t>STRÄNGNÄS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2497-2022</t>
        </is>
      </c>
      <c r="B283" s="1" t="n">
        <v>44579</v>
      </c>
      <c r="C283" s="1" t="n">
        <v>45971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Allmännings- och besparingsskogar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66583-2020</t>
        </is>
      </c>
      <c r="B284" s="1" t="n">
        <v>44179</v>
      </c>
      <c r="C284" s="1" t="n">
        <v>45971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24823-2025</t>
        </is>
      </c>
      <c r="B285" s="1" t="n">
        <v>45799.45325231482</v>
      </c>
      <c r="C285" s="1" t="n">
        <v>45971</v>
      </c>
      <c r="D285" t="inlineStr">
        <is>
          <t>SÖDERMANLANDS LÄN</t>
        </is>
      </c>
      <c r="E285" t="inlineStr">
        <is>
          <t>STRÄNGNÄS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42345-2025</t>
        </is>
      </c>
      <c r="B286" s="1" t="n">
        <v>45904</v>
      </c>
      <c r="C286" s="1" t="n">
        <v>45971</v>
      </c>
      <c r="D286" t="inlineStr">
        <is>
          <t>SÖDERMANLANDS LÄN</t>
        </is>
      </c>
      <c r="E286" t="inlineStr">
        <is>
          <t>STRÄNGNÄS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17066-2022</t>
        </is>
      </c>
      <c r="B287" s="1" t="n">
        <v>44676</v>
      </c>
      <c r="C287" s="1" t="n">
        <v>45971</v>
      </c>
      <c r="D287" t="inlineStr">
        <is>
          <t>SÖDERMANLANDS LÄN</t>
        </is>
      </c>
      <c r="E287" t="inlineStr">
        <is>
          <t>STRÄNGNÄS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25729-2025</t>
        </is>
      </c>
      <c r="B288" s="1" t="n">
        <v>45803.72429398148</v>
      </c>
      <c r="C288" s="1" t="n">
        <v>45971</v>
      </c>
      <c r="D288" t="inlineStr">
        <is>
          <t>SÖDERMANLANDS LÄN</t>
        </is>
      </c>
      <c r="E288" t="inlineStr">
        <is>
          <t>STRÄNGNÄS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25685-2025</t>
        </is>
      </c>
      <c r="B289" s="1" t="n">
        <v>45803.65414351852</v>
      </c>
      <c r="C289" s="1" t="n">
        <v>45971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42117-2022</t>
        </is>
      </c>
      <c r="B290" s="1" t="n">
        <v>44830</v>
      </c>
      <c r="C290" s="1" t="n">
        <v>45971</v>
      </c>
      <c r="D290" t="inlineStr">
        <is>
          <t>SÖDERMANLANDS LÄN</t>
        </is>
      </c>
      <c r="E290" t="inlineStr">
        <is>
          <t>STRÄNGNÄS</t>
        </is>
      </c>
      <c r="F290" t="inlineStr">
        <is>
          <t>Allmännings- och besparingsskogar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51405-2025</t>
        </is>
      </c>
      <c r="B291" s="1" t="n">
        <v>45950.48399305555</v>
      </c>
      <c r="C291" s="1" t="n">
        <v>45971</v>
      </c>
      <c r="D291" t="inlineStr">
        <is>
          <t>SÖDERMANLANDS LÄN</t>
        </is>
      </c>
      <c r="E291" t="inlineStr">
        <is>
          <t>STRÄNGNÄS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42515-2025</t>
        </is>
      </c>
      <c r="B292" s="1" t="n">
        <v>45905.54479166667</v>
      </c>
      <c r="C292" s="1" t="n">
        <v>45971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51330-2025</t>
        </is>
      </c>
      <c r="B293" s="1" t="n">
        <v>45950</v>
      </c>
      <c r="C293" s="1" t="n">
        <v>45971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15087-2025</t>
        </is>
      </c>
      <c r="B294" s="1" t="n">
        <v>45743</v>
      </c>
      <c r="C294" s="1" t="n">
        <v>45971</v>
      </c>
      <c r="D294" t="inlineStr">
        <is>
          <t>SÖDERMANLANDS LÄN</t>
        </is>
      </c>
      <c r="E294" t="inlineStr">
        <is>
          <t>STRÄNGNÄS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36792-2025</t>
        </is>
      </c>
      <c r="B295" s="1" t="n">
        <v>45873</v>
      </c>
      <c r="C295" s="1" t="n">
        <v>45971</v>
      </c>
      <c r="D295" t="inlineStr">
        <is>
          <t>SÖDERMANLANDS LÄN</t>
        </is>
      </c>
      <c r="E295" t="inlineStr">
        <is>
          <t>STRÄNGNÄS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45971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43391-2025</t>
        </is>
      </c>
      <c r="B297" s="1" t="n">
        <v>45911.36902777778</v>
      </c>
      <c r="C297" s="1" t="n">
        <v>45971</v>
      </c>
      <c r="D297" t="inlineStr">
        <is>
          <t>SÖDERMANLANDS LÄN</t>
        </is>
      </c>
      <c r="E297" t="inlineStr">
        <is>
          <t>STRÄNGNÄS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59304-2023</t>
        </is>
      </c>
      <c r="B298" s="1" t="n">
        <v>45253</v>
      </c>
      <c r="C298" s="1" t="n">
        <v>45971</v>
      </c>
      <c r="D298" t="inlineStr">
        <is>
          <t>SÖDERMANLANDS LÄN</t>
        </is>
      </c>
      <c r="E298" t="inlineStr">
        <is>
          <t>STRÄNGNÄS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45971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52997-2025</t>
        </is>
      </c>
      <c r="B300" s="1" t="n">
        <v>45957</v>
      </c>
      <c r="C300" s="1" t="n">
        <v>45971</v>
      </c>
      <c r="D300" t="inlineStr">
        <is>
          <t>SÖDERMANLANDS LÄN</t>
        </is>
      </c>
      <c r="E300" t="inlineStr">
        <is>
          <t>STRÄNGNÄS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HYPERLINK("https://klasma.github.io/Logging_0486/knärot/A 52997-2025 karta knärot.png", "A 52997-2025")</f>
        <v/>
      </c>
      <c r="V300">
        <f>HYPERLINK("https://klasma.github.io/Logging_0486/klagomål/A 52997-2025 FSC-klagomål.docx", "A 52997-2025")</f>
        <v/>
      </c>
      <c r="W300">
        <f>HYPERLINK("https://klasma.github.io/Logging_0486/klagomålsmail/A 52997-2025 FSC-klagomål mail.docx", "A 52997-2025")</f>
        <v/>
      </c>
      <c r="X300">
        <f>HYPERLINK("https://klasma.github.io/Logging_0486/tillsyn/A 52997-2025 tillsynsbegäran.docx", "A 52997-2025")</f>
        <v/>
      </c>
      <c r="Y300">
        <f>HYPERLINK("https://klasma.github.io/Logging_0486/tillsynsmail/A 52997-2025 tillsynsbegäran mail.docx", "A 52997-2025")</f>
        <v/>
      </c>
    </row>
    <row r="301" ht="15" customHeight="1">
      <c r="A301" t="inlineStr">
        <is>
          <t>A 3759-2025</t>
        </is>
      </c>
      <c r="B301" s="1" t="n">
        <v>45681.59104166667</v>
      </c>
      <c r="C301" s="1" t="n">
        <v>45971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3761-2025</t>
        </is>
      </c>
      <c r="B302" s="1" t="n">
        <v>45681</v>
      </c>
      <c r="C302" s="1" t="n">
        <v>45971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30622-2025</t>
        </is>
      </c>
      <c r="B303" s="1" t="n">
        <v>45831.47150462963</v>
      </c>
      <c r="C303" s="1" t="n">
        <v>45971</v>
      </c>
      <c r="D303" t="inlineStr">
        <is>
          <t>SÖDERMANLANDS LÄN</t>
        </is>
      </c>
      <c r="E303" t="inlineStr">
        <is>
          <t>STRÄNGNÄS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45971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52998-2025</t>
        </is>
      </c>
      <c r="B305" s="1" t="n">
        <v>45957</v>
      </c>
      <c r="C305" s="1" t="n">
        <v>45971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30636-2025</t>
        </is>
      </c>
      <c r="B306" s="1" t="n">
        <v>45831.4825</v>
      </c>
      <c r="C306" s="1" t="n">
        <v>45971</v>
      </c>
      <c r="D306" t="inlineStr">
        <is>
          <t>SÖDERMANLANDS LÄN</t>
        </is>
      </c>
      <c r="E306" t="inlineStr">
        <is>
          <t>STRÄNGNÄS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31745-2025</t>
        </is>
      </c>
      <c r="B307" s="1" t="n">
        <v>45834.47796296296</v>
      </c>
      <c r="C307" s="1" t="n">
        <v>45971</v>
      </c>
      <c r="D307" t="inlineStr">
        <is>
          <t>SÖDERMANLANDS LÄN</t>
        </is>
      </c>
      <c r="E307" t="inlineStr">
        <is>
          <t>STRÄNGNÄS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52712-2025</t>
        </is>
      </c>
      <c r="B308" s="1" t="n">
        <v>45957.3075</v>
      </c>
      <c r="C308" s="1" t="n">
        <v>45971</v>
      </c>
      <c r="D308" t="inlineStr">
        <is>
          <t>SÖDERMANLANDS LÄN</t>
        </is>
      </c>
      <c r="E308" t="inlineStr">
        <is>
          <t>STRÄNGNÄS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68613-2020</t>
        </is>
      </c>
      <c r="B309" s="1" t="n">
        <v>44186</v>
      </c>
      <c r="C309" s="1" t="n">
        <v>45971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32627-2025</t>
        </is>
      </c>
      <c r="B310" s="1" t="n">
        <v>45838.65256944444</v>
      </c>
      <c r="C310" s="1" t="n">
        <v>45971</v>
      </c>
      <c r="D310" t="inlineStr">
        <is>
          <t>SÖDERMANLANDS LÄN</t>
        </is>
      </c>
      <c r="E310" t="inlineStr">
        <is>
          <t>STRÄNGNÄS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44479-2023</t>
        </is>
      </c>
      <c r="B311" s="1" t="n">
        <v>45189</v>
      </c>
      <c r="C311" s="1" t="n">
        <v>45971</v>
      </c>
      <c r="D311" t="inlineStr">
        <is>
          <t>SÖDERMANLANDS LÄN</t>
        </is>
      </c>
      <c r="E311" t="inlineStr">
        <is>
          <t>STRÄNGNÄS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44929-2025</t>
        </is>
      </c>
      <c r="B312" s="1" t="n">
        <v>45918</v>
      </c>
      <c r="C312" s="1" t="n">
        <v>45971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32761-2025</t>
        </is>
      </c>
      <c r="B313" s="1" t="n">
        <v>45839.43791666667</v>
      </c>
      <c r="C313" s="1" t="n">
        <v>45971</v>
      </c>
      <c r="D313" t="inlineStr">
        <is>
          <t>SÖDERMANLANDS LÄN</t>
        </is>
      </c>
      <c r="E313" t="inlineStr">
        <is>
          <t>STRÄNGNÄS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24980-2025</t>
        </is>
      </c>
      <c r="B314" s="1" t="n">
        <v>45799</v>
      </c>
      <c r="C314" s="1" t="n">
        <v>45971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17249-2025</t>
        </is>
      </c>
      <c r="B315" s="1" t="n">
        <v>45756.50608796296</v>
      </c>
      <c r="C315" s="1" t="n">
        <v>45971</v>
      </c>
      <c r="D315" t="inlineStr">
        <is>
          <t>SÖDERMANLANDS LÄN</t>
        </is>
      </c>
      <c r="E315" t="inlineStr">
        <is>
          <t>STRÄNGNÄS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32755-2025</t>
        </is>
      </c>
      <c r="B316" s="1" t="n">
        <v>45839.43186342593</v>
      </c>
      <c r="C316" s="1" t="n">
        <v>45971</v>
      </c>
      <c r="D316" t="inlineStr">
        <is>
          <t>SÖDERMANLANDS LÄN</t>
        </is>
      </c>
      <c r="E316" t="inlineStr">
        <is>
          <t>STRÄNGNÄS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3773-2025</t>
        </is>
      </c>
      <c r="B317" s="1" t="n">
        <v>45681</v>
      </c>
      <c r="C317" s="1" t="n">
        <v>45971</v>
      </c>
      <c r="D317" t="inlineStr">
        <is>
          <t>SÖDERMANLANDS LÄN</t>
        </is>
      </c>
      <c r="E317" t="inlineStr">
        <is>
          <t>STRÄNGNÄS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32763-2025</t>
        </is>
      </c>
      <c r="B318" s="1" t="n">
        <v>45839.44548611111</v>
      </c>
      <c r="C318" s="1" t="n">
        <v>45971</v>
      </c>
      <c r="D318" t="inlineStr">
        <is>
          <t>SÖDERMANLANDS LÄN</t>
        </is>
      </c>
      <c r="E318" t="inlineStr">
        <is>
          <t>STRÄNGNÄS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11281-2025</t>
        </is>
      </c>
      <c r="B319" s="1" t="n">
        <v>45726</v>
      </c>
      <c r="C319" s="1" t="n">
        <v>45971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34401-2024</t>
        </is>
      </c>
      <c r="B320" s="1" t="n">
        <v>45525.45232638889</v>
      </c>
      <c r="C320" s="1" t="n">
        <v>45971</v>
      </c>
      <c r="D320" t="inlineStr">
        <is>
          <t>SÖDERMANLANDS LÄN</t>
        </is>
      </c>
      <c r="E320" t="inlineStr">
        <is>
          <t>STRÄNGNÄS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53773-2025</t>
        </is>
      </c>
      <c r="B321" s="1" t="n">
        <v>45960.68623842593</v>
      </c>
      <c r="C321" s="1" t="n">
        <v>45971</v>
      </c>
      <c r="D321" t="inlineStr">
        <is>
          <t>SÖDERMANLANDS LÄN</t>
        </is>
      </c>
      <c r="E321" t="inlineStr">
        <is>
          <t>STRÄNGNÄS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33537-2025</t>
        </is>
      </c>
      <c r="B322" s="1" t="n">
        <v>45841</v>
      </c>
      <c r="C322" s="1" t="n">
        <v>45971</v>
      </c>
      <c r="D322" t="inlineStr">
        <is>
          <t>SÖDERMANLANDS LÄN</t>
        </is>
      </c>
      <c r="E322" t="inlineStr">
        <is>
          <t>STRÄNGNÄS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33539-2025</t>
        </is>
      </c>
      <c r="B323" s="1" t="n">
        <v>45841</v>
      </c>
      <c r="C323" s="1" t="n">
        <v>45971</v>
      </c>
      <c r="D323" t="inlineStr">
        <is>
          <t>SÖDERMANLANDS LÄN</t>
        </is>
      </c>
      <c r="E323" t="inlineStr">
        <is>
          <t>STRÄNGNÄS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52790-2023</t>
        </is>
      </c>
      <c r="B324" s="1" t="n">
        <v>45219</v>
      </c>
      <c r="C324" s="1" t="n">
        <v>45971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55054-2023</t>
        </is>
      </c>
      <c r="B325" s="1" t="n">
        <v>45237</v>
      </c>
      <c r="C325" s="1" t="n">
        <v>45971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50296-2021</t>
        </is>
      </c>
      <c r="B326" s="1" t="n">
        <v>44459</v>
      </c>
      <c r="C326" s="1" t="n">
        <v>45971</v>
      </c>
      <c r="D326" t="inlineStr">
        <is>
          <t>SÖDERMANLANDS LÄN</t>
        </is>
      </c>
      <c r="E326" t="inlineStr">
        <is>
          <t>STRÄNGNÄS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3121-2023</t>
        </is>
      </c>
      <c r="B327" s="1" t="n">
        <v>44946.48709490741</v>
      </c>
      <c r="C327" s="1" t="n">
        <v>45971</v>
      </c>
      <c r="D327" t="inlineStr">
        <is>
          <t>SÖDERMANLANDS LÄN</t>
        </is>
      </c>
      <c r="E327" t="inlineStr">
        <is>
          <t>STRÄNGNÄS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34994-2025</t>
        </is>
      </c>
      <c r="B328" s="1" t="n">
        <v>45849.82635416667</v>
      </c>
      <c r="C328" s="1" t="n">
        <v>45971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10352-2023</t>
        </is>
      </c>
      <c r="B329" s="1" t="n">
        <v>44987</v>
      </c>
      <c r="C329" s="1" t="n">
        <v>45971</v>
      </c>
      <c r="D329" t="inlineStr">
        <is>
          <t>SÖDERMANLANDS LÄN</t>
        </is>
      </c>
      <c r="E329" t="inlineStr">
        <is>
          <t>STRÄNGNÄS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35370-2025</t>
        </is>
      </c>
      <c r="B330" s="1" t="n">
        <v>45854</v>
      </c>
      <c r="C330" s="1" t="n">
        <v>45971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41503-2022</t>
        </is>
      </c>
      <c r="B331" s="1" t="n">
        <v>44827.31700231481</v>
      </c>
      <c r="C331" s="1" t="n">
        <v>45971</v>
      </c>
      <c r="D331" t="inlineStr">
        <is>
          <t>SÖDERMANLANDS LÄN</t>
        </is>
      </c>
      <c r="E331" t="inlineStr">
        <is>
          <t>STRÄNGNÄS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30477-2024</t>
        </is>
      </c>
      <c r="B332" s="1" t="n">
        <v>45491</v>
      </c>
      <c r="C332" s="1" t="n">
        <v>45971</v>
      </c>
      <c r="D332" t="inlineStr">
        <is>
          <t>SÖDERMANLANDS LÄN</t>
        </is>
      </c>
      <c r="E332" t="inlineStr">
        <is>
          <t>STRÄNGNÄS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60748-2021</t>
        </is>
      </c>
      <c r="B333" s="1" t="n">
        <v>44496</v>
      </c>
      <c r="C333" s="1" t="n">
        <v>45971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33343-2023</t>
        </is>
      </c>
      <c r="B334" s="1" t="n">
        <v>45128</v>
      </c>
      <c r="C334" s="1" t="n">
        <v>45971</v>
      </c>
      <c r="D334" t="inlineStr">
        <is>
          <t>SÖDERMANLANDS LÄN</t>
        </is>
      </c>
      <c r="E334" t="inlineStr">
        <is>
          <t>STRÄNGNÄS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54383-2022</t>
        </is>
      </c>
      <c r="B335" s="1" t="n">
        <v>44882</v>
      </c>
      <c r="C335" s="1" t="n">
        <v>45971</v>
      </c>
      <c r="D335" t="inlineStr">
        <is>
          <t>SÖDERMANLANDS LÄN</t>
        </is>
      </c>
      <c r="E335" t="inlineStr">
        <is>
          <t>STRÄNGNÄS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35372-2025</t>
        </is>
      </c>
      <c r="B336" s="1" t="n">
        <v>45854</v>
      </c>
      <c r="C336" s="1" t="n">
        <v>45971</v>
      </c>
      <c r="D336" t="inlineStr">
        <is>
          <t>SÖDERMANLANDS LÄN</t>
        </is>
      </c>
      <c r="E336" t="inlineStr">
        <is>
          <t>STRÄNGNÄS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3185-2022</t>
        </is>
      </c>
      <c r="B337" s="1" t="n">
        <v>44582</v>
      </c>
      <c r="C337" s="1" t="n">
        <v>45971</v>
      </c>
      <c r="D337" t="inlineStr">
        <is>
          <t>SÖDERMANLANDS LÄN</t>
        </is>
      </c>
      <c r="E337" t="inlineStr">
        <is>
          <t>STRÄNGNÄS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36440-2025</t>
        </is>
      </c>
      <c r="B338" s="1" t="n">
        <v>45869</v>
      </c>
      <c r="C338" s="1" t="n">
        <v>45971</v>
      </c>
      <c r="D338" t="inlineStr">
        <is>
          <t>SÖDERMANLANDS LÄN</t>
        </is>
      </c>
      <c r="E338" t="inlineStr">
        <is>
          <t>STRÄNGNÄS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65151-2023</t>
        </is>
      </c>
      <c r="B339" s="1" t="n">
        <v>45288</v>
      </c>
      <c r="C339" s="1" t="n">
        <v>45971</v>
      </c>
      <c r="D339" t="inlineStr">
        <is>
          <t>SÖDERMANLANDS LÄN</t>
        </is>
      </c>
      <c r="E339" t="inlineStr">
        <is>
          <t>STRÄNGNÄS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58238-2022</t>
        </is>
      </c>
      <c r="B340" s="1" t="n">
        <v>44901</v>
      </c>
      <c r="C340" s="1" t="n">
        <v>45971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43386-2022</t>
        </is>
      </c>
      <c r="B341" s="1" t="n">
        <v>44834</v>
      </c>
      <c r="C341" s="1" t="n">
        <v>45971</v>
      </c>
      <c r="D341" t="inlineStr">
        <is>
          <t>SÖDERMANLANDS LÄN</t>
        </is>
      </c>
      <c r="E341" t="inlineStr">
        <is>
          <t>STRÄNGNÄS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36799-2025</t>
        </is>
      </c>
      <c r="B342" s="1" t="n">
        <v>45873.65800925926</v>
      </c>
      <c r="C342" s="1" t="n">
        <v>45971</v>
      </c>
      <c r="D342" t="inlineStr">
        <is>
          <t>SÖDERMANLANDS LÄN</t>
        </is>
      </c>
      <c r="E342" t="inlineStr">
        <is>
          <t>STRÄNGNÄS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36796-2025</t>
        </is>
      </c>
      <c r="B343" s="1" t="n">
        <v>45873</v>
      </c>
      <c r="C343" s="1" t="n">
        <v>45971</v>
      </c>
      <c r="D343" t="inlineStr">
        <is>
          <t>SÖDERMANLANDS LÄN</t>
        </is>
      </c>
      <c r="E343" t="inlineStr">
        <is>
          <t>STRÄNGNÄS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60747-2021</t>
        </is>
      </c>
      <c r="B344" s="1" t="n">
        <v>44496</v>
      </c>
      <c r="C344" s="1" t="n">
        <v>45971</v>
      </c>
      <c r="D344" t="inlineStr">
        <is>
          <t>SÖDERMANLANDS LÄN</t>
        </is>
      </c>
      <c r="E344" t="inlineStr">
        <is>
          <t>STRÄNGNÄS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20506-2022</t>
        </is>
      </c>
      <c r="B345" s="1" t="n">
        <v>44699.85752314814</v>
      </c>
      <c r="C345" s="1" t="n">
        <v>45971</v>
      </c>
      <c r="D345" t="inlineStr">
        <is>
          <t>SÖDERMANLANDS LÄN</t>
        </is>
      </c>
      <c r="E345" t="inlineStr">
        <is>
          <t>STRÄNGNÄS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53904-2022</t>
        </is>
      </c>
      <c r="B346" s="1" t="n">
        <v>44880</v>
      </c>
      <c r="C346" s="1" t="n">
        <v>45971</v>
      </c>
      <c r="D346" t="inlineStr">
        <is>
          <t>SÖDERMANLANDS LÄN</t>
        </is>
      </c>
      <c r="E346" t="inlineStr">
        <is>
          <t>STRÄNGNÄS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3943-2021</t>
        </is>
      </c>
      <c r="B347" s="1" t="n">
        <v>44218</v>
      </c>
      <c r="C347" s="1" t="n">
        <v>45971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38198-2025</t>
        </is>
      </c>
      <c r="B348" s="1" t="n">
        <v>45882.67344907407</v>
      </c>
      <c r="C348" s="1" t="n">
        <v>45971</v>
      </c>
      <c r="D348" t="inlineStr">
        <is>
          <t>SÖDERMANLANDS LÄN</t>
        </is>
      </c>
      <c r="E348" t="inlineStr">
        <is>
          <t>STRÄNGNÄS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34391-2024</t>
        </is>
      </c>
      <c r="B349" s="1" t="n">
        <v>45525.43216435185</v>
      </c>
      <c r="C349" s="1" t="n">
        <v>45971</v>
      </c>
      <c r="D349" t="inlineStr">
        <is>
          <t>SÖDERMANLANDS LÄN</t>
        </is>
      </c>
      <c r="E349" t="inlineStr">
        <is>
          <t>STRÄNGNÄS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3923-2021</t>
        </is>
      </c>
      <c r="B350" s="1" t="n">
        <v>44218</v>
      </c>
      <c r="C350" s="1" t="n">
        <v>45971</v>
      </c>
      <c r="D350" t="inlineStr">
        <is>
          <t>SÖDERMANLANDS LÄN</t>
        </is>
      </c>
      <c r="E350" t="inlineStr">
        <is>
          <t>STRÄNGNÄS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11243-2023</t>
        </is>
      </c>
      <c r="B351" s="1" t="n">
        <v>44992</v>
      </c>
      <c r="C351" s="1" t="n">
        <v>45971</v>
      </c>
      <c r="D351" t="inlineStr">
        <is>
          <t>SÖDERMANLANDS LÄN</t>
        </is>
      </c>
      <c r="E351" t="inlineStr">
        <is>
          <t>STRÄNGNÄS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2025-11-10T10:12:44Z</dcterms:created>
  <dcterms:modified xmlns:dcterms="http://purl.org/dc/terms/" xmlns:xsi="http://www.w3.org/2001/XMLSchema-instance" xsi:type="dcterms:W3CDTF">2025-11-10T10:12:44Z</dcterms:modified>
</cp:coreProperties>
</file>