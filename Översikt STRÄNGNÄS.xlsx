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45635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45635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45635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45635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45635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45635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45635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45635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45635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45635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45635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45635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45635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45635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45635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45635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45635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45635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45635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53489-2024</t>
        </is>
      </c>
      <c r="B21" s="1" t="n">
        <v>45614</v>
      </c>
      <c r="C21" s="1" t="n">
        <v>45635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5.9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Ullticka
Granbarkgnagare</t>
        </is>
      </c>
      <c r="S21">
        <f>HYPERLINK("https://klasma.github.io/Logging_0486/artfynd/A 53489-2024 artfynd.xlsx", "A 53489-2024")</f>
        <v/>
      </c>
      <c r="T21">
        <f>HYPERLINK("https://klasma.github.io/Logging_0486/kartor/A 53489-2024 karta.png", "A 53489-2024")</f>
        <v/>
      </c>
      <c r="V21">
        <f>HYPERLINK("https://klasma.github.io/Logging_0486/klagomål/A 53489-2024 FSC-klagomål.docx", "A 53489-2024")</f>
        <v/>
      </c>
      <c r="W21">
        <f>HYPERLINK("https://klasma.github.io/Logging_0486/klagomålsmail/A 53489-2024 FSC-klagomål mail.docx", "A 53489-2024")</f>
        <v/>
      </c>
      <c r="X21">
        <f>HYPERLINK("https://klasma.github.io/Logging_0486/tillsyn/A 53489-2024 tillsynsbegäran.docx", "A 53489-2024")</f>
        <v/>
      </c>
      <c r="Y21">
        <f>HYPERLINK("https://klasma.github.io/Logging_0486/tillsynsmail/A 53489-2024 tillsynsbegäran mail.docx", "A 53489-2024")</f>
        <v/>
      </c>
      <c r="Z21">
        <f>HYPERLINK("https://klasma.github.io/Logging_0486/fåglar/A 53489-2024 prioriterade fågelarter.docx", "A 53489-2024")</f>
        <v/>
      </c>
    </row>
    <row r="22" ht="15" customHeight="1">
      <c r="A22" t="inlineStr">
        <is>
          <t>A 12671-2022</t>
        </is>
      </c>
      <c r="B22" s="1" t="n">
        <v>44641</v>
      </c>
      <c r="C22" s="1" t="n">
        <v>45635</v>
      </c>
      <c r="D22" t="inlineStr">
        <is>
          <t>SÖDERMANLANDS LÄN</t>
        </is>
      </c>
      <c r="E22" t="inlineStr">
        <is>
          <t>STRÄNGNÄS</t>
        </is>
      </c>
      <c r="G22" t="n">
        <v>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Fiskmås
Svartvit flugsnappare</t>
        </is>
      </c>
      <c r="S22">
        <f>HYPERLINK("https://klasma.github.io/Logging_0486/artfynd/A 12671-2022 artfynd.xlsx", "A 12671-2022")</f>
        <v/>
      </c>
      <c r="T22">
        <f>HYPERLINK("https://klasma.github.io/Logging_0486/kartor/A 12671-2022 karta.png", "A 12671-2022")</f>
        <v/>
      </c>
      <c r="V22">
        <f>HYPERLINK("https://klasma.github.io/Logging_0486/klagomål/A 12671-2022 FSC-klagomål.docx", "A 12671-2022")</f>
        <v/>
      </c>
      <c r="W22">
        <f>HYPERLINK("https://klasma.github.io/Logging_0486/klagomålsmail/A 12671-2022 FSC-klagomål mail.docx", "A 12671-2022")</f>
        <v/>
      </c>
      <c r="X22">
        <f>HYPERLINK("https://klasma.github.io/Logging_0486/tillsyn/A 12671-2022 tillsynsbegäran.docx", "A 12671-2022")</f>
        <v/>
      </c>
      <c r="Y22">
        <f>HYPERLINK("https://klasma.github.io/Logging_0486/tillsynsmail/A 12671-2022 tillsynsbegäran mail.docx", "A 12671-2022")</f>
        <v/>
      </c>
      <c r="Z22">
        <f>HYPERLINK("https://klasma.github.io/Logging_0486/fåglar/A 12671-2022 prioriterade fågelarter.docx", "A 12671-2022")</f>
        <v/>
      </c>
    </row>
    <row r="23" ht="15" customHeight="1">
      <c r="A23" t="inlineStr">
        <is>
          <t>A 44717-2022</t>
        </is>
      </c>
      <c r="B23" s="1" t="n">
        <v>44840</v>
      </c>
      <c r="C23" s="1" t="n">
        <v>45635</v>
      </c>
      <c r="D23" t="inlineStr">
        <is>
          <t>SÖDERMANLANDS LÄN</t>
        </is>
      </c>
      <c r="E23" t="inlineStr">
        <is>
          <t>STRÄNGNÄS</t>
        </is>
      </c>
      <c r="G23" t="n">
        <v>9.5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Stare
Grönsångare</t>
        </is>
      </c>
      <c r="S23">
        <f>HYPERLINK("https://klasma.github.io/Logging_0486/artfynd/A 44717-2022 artfynd.xlsx", "A 44717-2022")</f>
        <v/>
      </c>
      <c r="T23">
        <f>HYPERLINK("https://klasma.github.io/Logging_0486/kartor/A 44717-2022 karta.png", "A 44717-2022")</f>
        <v/>
      </c>
      <c r="V23">
        <f>HYPERLINK("https://klasma.github.io/Logging_0486/klagomål/A 44717-2022 FSC-klagomål.docx", "A 44717-2022")</f>
        <v/>
      </c>
      <c r="W23">
        <f>HYPERLINK("https://klasma.github.io/Logging_0486/klagomålsmail/A 44717-2022 FSC-klagomål mail.docx", "A 44717-2022")</f>
        <v/>
      </c>
      <c r="X23">
        <f>HYPERLINK("https://klasma.github.io/Logging_0486/tillsyn/A 44717-2022 tillsynsbegäran.docx", "A 44717-2022")</f>
        <v/>
      </c>
      <c r="Y23">
        <f>HYPERLINK("https://klasma.github.io/Logging_0486/tillsynsmail/A 44717-2022 tillsynsbegäran mail.docx", "A 44717-2022")</f>
        <v/>
      </c>
      <c r="Z23">
        <f>HYPERLINK("https://klasma.github.io/Logging_0486/fåglar/A 44717-2022 prioriterade fågelarter.docx", "A 44717-2022")</f>
        <v/>
      </c>
    </row>
    <row r="24" ht="15" customHeight="1">
      <c r="A24" t="inlineStr">
        <is>
          <t>A 56157-2023</t>
        </is>
      </c>
      <c r="B24" s="1" t="n">
        <v>45240</v>
      </c>
      <c r="C24" s="1" t="n">
        <v>45635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Strutbräken
Nattskärra</t>
        </is>
      </c>
      <c r="S24">
        <f>HYPERLINK("https://klasma.github.io/Logging_0486/artfynd/A 56157-2023 artfynd.xlsx", "A 56157-2023")</f>
        <v/>
      </c>
      <c r="T24">
        <f>HYPERLINK("https://klasma.github.io/Logging_0486/kartor/A 56157-2023 karta.png", "A 56157-2023")</f>
        <v/>
      </c>
      <c r="V24">
        <f>HYPERLINK("https://klasma.github.io/Logging_0486/klagomål/A 56157-2023 FSC-klagomål.docx", "A 56157-2023")</f>
        <v/>
      </c>
      <c r="W24">
        <f>HYPERLINK("https://klasma.github.io/Logging_0486/klagomålsmail/A 56157-2023 FSC-klagomål mail.docx", "A 56157-2023")</f>
        <v/>
      </c>
      <c r="X24">
        <f>HYPERLINK("https://klasma.github.io/Logging_0486/tillsyn/A 56157-2023 tillsynsbegäran.docx", "A 56157-2023")</f>
        <v/>
      </c>
      <c r="Y24">
        <f>HYPERLINK("https://klasma.github.io/Logging_0486/tillsynsmail/A 56157-2023 tillsynsbegäran mail.docx", "A 56157-2023")</f>
        <v/>
      </c>
      <c r="Z24">
        <f>HYPERLINK("https://klasma.github.io/Logging_0486/fåglar/A 56157-2023 prioriterade fågelarter.docx", "A 56157-2023")</f>
        <v/>
      </c>
    </row>
    <row r="25" ht="15" customHeight="1">
      <c r="A25" t="inlineStr">
        <is>
          <t>A 3825-2024</t>
        </is>
      </c>
      <c r="B25" s="1" t="n">
        <v>45321</v>
      </c>
      <c r="C25" s="1" t="n">
        <v>45635</v>
      </c>
      <c r="D25" t="inlineStr">
        <is>
          <t>SÖDERMANLANDS LÄN</t>
        </is>
      </c>
      <c r="E25" t="inlineStr">
        <is>
          <t>STRÄNGNÄS</t>
        </is>
      </c>
      <c r="G25" t="n">
        <v>6.4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HYPERLINK("https://klasma.github.io/Logging_0486/artfynd/A 3825-2024 artfynd.xlsx", "A 3825-2024")</f>
        <v/>
      </c>
      <c r="T25">
        <f>HYPERLINK("https://klasma.github.io/Logging_0486/kartor/A 3825-2024 karta.png", "A 3825-2024")</f>
        <v/>
      </c>
      <c r="V25">
        <f>HYPERLINK("https://klasma.github.io/Logging_0486/klagomål/A 3825-2024 FSC-klagomål.docx", "A 3825-2024")</f>
        <v/>
      </c>
      <c r="W25">
        <f>HYPERLINK("https://klasma.github.io/Logging_0486/klagomålsmail/A 3825-2024 FSC-klagomål mail.docx", "A 3825-2024")</f>
        <v/>
      </c>
      <c r="X25">
        <f>HYPERLINK("https://klasma.github.io/Logging_0486/tillsyn/A 3825-2024 tillsynsbegäran.docx", "A 3825-2024")</f>
        <v/>
      </c>
      <c r="Y25">
        <f>HYPERLINK("https://klasma.github.io/Logging_0486/tillsynsmail/A 3825-2024 tillsynsbegäran mail.docx", "A 3825-2024")</f>
        <v/>
      </c>
      <c r="Z25">
        <f>HYPERLINK("https://klasma.github.io/Logging_0486/fåglar/A 3825-2024 prioriterade fågelarter.docx", "A 3825-2024")</f>
        <v/>
      </c>
    </row>
    <row r="26" ht="15" customHeight="1">
      <c r="A26" t="inlineStr">
        <is>
          <t>A 19598-2024</t>
        </is>
      </c>
      <c r="B26" s="1" t="n">
        <v>45431</v>
      </c>
      <c r="C26" s="1" t="n">
        <v>45635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Kungsfågel</t>
        </is>
      </c>
      <c r="S26">
        <f>HYPERLINK("https://klasma.github.io/Logging_0486/artfynd/A 19598-2024 artfynd.xlsx", "A 19598-2024")</f>
        <v/>
      </c>
      <c r="T26">
        <f>HYPERLINK("https://klasma.github.io/Logging_0486/kartor/A 19598-2024 karta.png", "A 19598-2024")</f>
        <v/>
      </c>
      <c r="V26">
        <f>HYPERLINK("https://klasma.github.io/Logging_0486/klagomål/A 19598-2024 FSC-klagomål.docx", "A 19598-2024")</f>
        <v/>
      </c>
      <c r="W26">
        <f>HYPERLINK("https://klasma.github.io/Logging_0486/klagomålsmail/A 19598-2024 FSC-klagomål mail.docx", "A 19598-2024")</f>
        <v/>
      </c>
      <c r="X26">
        <f>HYPERLINK("https://klasma.github.io/Logging_0486/tillsyn/A 19598-2024 tillsynsbegäran.docx", "A 19598-2024")</f>
        <v/>
      </c>
      <c r="Y26">
        <f>HYPERLINK("https://klasma.github.io/Logging_0486/tillsynsmail/A 19598-2024 tillsynsbegäran mail.docx", "A 19598-2024")</f>
        <v/>
      </c>
      <c r="Z26">
        <f>HYPERLINK("https://klasma.github.io/Logging_0486/fåglar/A 19598-2024 prioriterade fågelarter.docx", "A 19598-2024")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45635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45635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45635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45635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45635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45635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45635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45635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45635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45635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45635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45635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45635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45635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45635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45635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45635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45635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45635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45635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45635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45635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45635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45635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45635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45635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45635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45635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45635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45635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45635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45635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45635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45635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45635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45635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45635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45635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45635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45635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45635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45635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45635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45635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45635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45635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45635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45635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45635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45635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45635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45635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45635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45635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45635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45635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45635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45635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45635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45635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45635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45635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45635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45635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45635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45635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45635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45635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45635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45635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45635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45635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45635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45635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45635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45635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45635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45635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45635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45635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45635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45635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45635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45635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45635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45635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45635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45635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45635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45635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45635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45635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45635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45635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45635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45635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45635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45635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45635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45635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45635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45635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45635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45635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45635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45635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45635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45635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45635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45635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45635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45635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45635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45635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45635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45635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45635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45635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45635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45635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45635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45635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45635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45635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45635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45635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45635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45635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45635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45635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45635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45635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45635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45635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45635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45635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45635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45635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45635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45635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45635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45635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45635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45635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45635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45635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45635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45635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45635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45635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45635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45635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45635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45635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45635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45635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45635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45635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45635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45635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45635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45635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45635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45635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45635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45635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45635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45635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45635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45635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45635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45635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45635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45635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45635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45635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45635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45635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45635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45635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45635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45635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45635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45635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45635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45635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45635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45635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45635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45635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45635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45635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45635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45635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45635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45635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45635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45635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45635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45635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45635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45635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45635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45635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45635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45635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45635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45635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45635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45635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45635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45635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45635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45635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45635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45635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45635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45635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45635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45635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45635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45635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45635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45635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45635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45635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45635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45635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45635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45635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45635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45635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45635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45635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45635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45635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45635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45635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45635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45635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45635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45635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45635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45635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45635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45635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45635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45635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45635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45635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45635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45635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45635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45635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45635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45635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45635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45635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45635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45635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45635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45635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45635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45635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45635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45635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45635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45635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45635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45635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45635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45635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45635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45635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45635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45635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45635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45635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45635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45635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45635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45635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45635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45635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45635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45635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45635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45635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45635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45635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45635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45635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45635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45635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45635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45635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45635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45635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45635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45635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45635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45635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45635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45635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45635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45635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45635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45635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45635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45635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45635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45635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45635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45635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45635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45635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45635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45635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45635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45635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45635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45635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45635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45635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45635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45635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45635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45635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45635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45635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45635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45635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45635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45635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45635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45635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45635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45635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45635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45635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45635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45635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45635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45635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45635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45635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45635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45635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45635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45635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45635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45635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45635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45635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45635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45635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45635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45635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45635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45635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45635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45635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45635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45635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45635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45635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45635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45635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45635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45635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45635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45635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45635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45635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45635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45635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45635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45635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45635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45635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45635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45635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45635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45635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45635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45635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45635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45635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45635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45635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45635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45635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45635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45635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45635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45635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45635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45635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45635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45635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45635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45635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45635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45635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45635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45635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45635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45635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45635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45635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45635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45635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45635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45635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45635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45635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45635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45635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45635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45635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45635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45635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45635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45635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45635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45635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45635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45635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45635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45635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45635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45635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45635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45635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45635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45635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45635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45635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45635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45635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45635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45635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45635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45635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45635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45635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45635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45635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45635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45635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45635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45635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45635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45635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45635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45635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45635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45635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45635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45635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45635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45635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45635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45635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45635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45635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45635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45635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45635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45635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45635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45635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45635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45635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45635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45635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45635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45635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45635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45635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45635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45635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45635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45635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45635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45635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45635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45635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45635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45635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45635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45635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45635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45635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45635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45635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45635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45635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45635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45635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45635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45635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45635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45635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45635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45635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45635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45635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45635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45635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45635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45635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45635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45635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45635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45635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45635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45635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45635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45635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45635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45635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45635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45635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45635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45635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45635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45635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45635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45635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45635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45635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45635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45635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45635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45635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45635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45635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45635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45635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45635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45635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45635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45635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45635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45635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45635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45635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45635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45635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45635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45635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45635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45635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45635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45635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45635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45635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45635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45635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45635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45635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50066-2024</t>
        </is>
      </c>
      <c r="B589" s="1" t="n">
        <v>45597</v>
      </c>
      <c r="C589" s="1" t="n">
        <v>45635</v>
      </c>
      <c r="D589" t="inlineStr">
        <is>
          <t>SÖDERMANLANDS LÄN</t>
        </is>
      </c>
      <c r="E589" t="inlineStr">
        <is>
          <t>STRÄNGNÄS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50063-2024</t>
        </is>
      </c>
      <c r="B590" s="1" t="n">
        <v>45597</v>
      </c>
      <c r="C590" s="1" t="n">
        <v>45635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52443-2024</t>
        </is>
      </c>
      <c r="B591" s="1" t="n">
        <v>45609</v>
      </c>
      <c r="C591" s="1" t="n">
        <v>45635</v>
      </c>
      <c r="D591" t="inlineStr">
        <is>
          <t>SÖDERMANLANDS LÄN</t>
        </is>
      </c>
      <c r="E591" t="inlineStr">
        <is>
          <t>STRÄNGNÄS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52452-2024</t>
        </is>
      </c>
      <c r="B592" s="1" t="n">
        <v>45609</v>
      </c>
      <c r="C592" s="1" t="n">
        <v>45635</v>
      </c>
      <c r="D592" t="inlineStr">
        <is>
          <t>SÖDERMANLANDS LÄN</t>
        </is>
      </c>
      <c r="E592" t="inlineStr">
        <is>
          <t>STRÄNGNÄS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45635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54269-2024</t>
        </is>
      </c>
      <c r="B594" s="1" t="n">
        <v>45616</v>
      </c>
      <c r="C594" s="1" t="n">
        <v>45635</v>
      </c>
      <c r="D594" t="inlineStr">
        <is>
          <t>SÖDERMANLANDS LÄN</t>
        </is>
      </c>
      <c r="E594" t="inlineStr">
        <is>
          <t>STRÄNGNÄS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54271-2024</t>
        </is>
      </c>
      <c r="B595" s="1" t="n">
        <v>45616</v>
      </c>
      <c r="C595" s="1" t="n">
        <v>45635</v>
      </c>
      <c r="D595" t="inlineStr">
        <is>
          <t>SÖDERMANLANDS LÄN</t>
        </is>
      </c>
      <c r="E595" t="inlineStr">
        <is>
          <t>STRÄNGNÄS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54272-2024</t>
        </is>
      </c>
      <c r="B596" s="1" t="n">
        <v>45616</v>
      </c>
      <c r="C596" s="1" t="n">
        <v>45635</v>
      </c>
      <c r="D596" t="inlineStr">
        <is>
          <t>SÖDERMANLANDS LÄN</t>
        </is>
      </c>
      <c r="E596" t="inlineStr">
        <is>
          <t>STRÄNGNÄS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45635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56012-2024</t>
        </is>
      </c>
      <c r="B598" s="1" t="n">
        <v>45623</v>
      </c>
      <c r="C598" s="1" t="n">
        <v>45635</v>
      </c>
      <c r="D598" t="inlineStr">
        <is>
          <t>SÖDERMANLANDS LÄN</t>
        </is>
      </c>
      <c r="E598" t="inlineStr">
        <is>
          <t>STRÄNGNÄS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56007-2024</t>
        </is>
      </c>
      <c r="B599" s="1" t="n">
        <v>45623</v>
      </c>
      <c r="C599" s="1" t="n">
        <v>45635</v>
      </c>
      <c r="D599" t="inlineStr">
        <is>
          <t>SÖDERMANLANDS LÄN</t>
        </is>
      </c>
      <c r="E599" t="inlineStr">
        <is>
          <t>STRÄNGNÄS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56984-2024</t>
        </is>
      </c>
      <c r="B600" s="1" t="n">
        <v>45628</v>
      </c>
      <c r="C600" s="1" t="n">
        <v>45635</v>
      </c>
      <c r="D600" t="inlineStr">
        <is>
          <t>SÖDERMANLANDS LÄN</t>
        </is>
      </c>
      <c r="E600" t="inlineStr">
        <is>
          <t>STRÄNGNÄS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56989-2024</t>
        </is>
      </c>
      <c r="B601" s="1" t="n">
        <v>45628</v>
      </c>
      <c r="C601" s="1" t="n">
        <v>45635</v>
      </c>
      <c r="D601" t="inlineStr">
        <is>
          <t>SÖDERMANLANDS LÄN</t>
        </is>
      </c>
      <c r="E601" t="inlineStr">
        <is>
          <t>STRÄNGNÄS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56987-2024</t>
        </is>
      </c>
      <c r="B602" s="1" t="n">
        <v>45628</v>
      </c>
      <c r="C602" s="1" t="n">
        <v>45635</v>
      </c>
      <c r="D602" t="inlineStr">
        <is>
          <t>SÖDERMANLANDS LÄN</t>
        </is>
      </c>
      <c r="E602" t="inlineStr">
        <is>
          <t>STRÄNGNÄS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56994-2024</t>
        </is>
      </c>
      <c r="B603" s="1" t="n">
        <v>45628</v>
      </c>
      <c r="C603" s="1" t="n">
        <v>45635</v>
      </c>
      <c r="D603" t="inlineStr">
        <is>
          <t>SÖDERMANLANDS LÄN</t>
        </is>
      </c>
      <c r="E603" t="inlineStr">
        <is>
          <t>STRÄNGNÄS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56988-2024</t>
        </is>
      </c>
      <c r="B604" s="1" t="n">
        <v>45628</v>
      </c>
      <c r="C604" s="1" t="n">
        <v>45635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57231-2024</t>
        </is>
      </c>
      <c r="B605" s="1" t="n">
        <v>45629</v>
      </c>
      <c r="C605" s="1" t="n">
        <v>45635</v>
      </c>
      <c r="D605" t="inlineStr">
        <is>
          <t>SÖDERMANLANDS LÄN</t>
        </is>
      </c>
      <c r="E605" t="inlineStr">
        <is>
          <t>STRÄNGNÄS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2024-12-09T15:07:05Z</dcterms:created>
  <dcterms:modified xmlns:dcterms="http://purl.org/dc/terms/" xmlns:xsi="http://www.w3.org/2001/XMLSchema-instance" xsi:type="dcterms:W3CDTF">2024-12-09T15:07:06Z</dcterms:modified>
</cp:coreProperties>
</file>