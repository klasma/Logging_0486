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45566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15</v>
      </c>
      <c r="R2" s="2" t="inlineStr">
        <is>
          <t>Bombmurkla
Knärot
Grönsångare
Motaggsvamp
Nordfladdermus
Spillkråka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45566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45566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45566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45566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45566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45566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45566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45566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45566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45566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45566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45566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45566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45566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45566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45566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45566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45566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45566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45566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45566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45566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45566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45566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45566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45566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45566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45566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45566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45566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45566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43666-2022</t>
        </is>
      </c>
      <c r="B34" s="1" t="n">
        <v>44834</v>
      </c>
      <c r="C34" s="1" t="n">
        <v>45566</v>
      </c>
      <c r="D34" t="inlineStr">
        <is>
          <t>SÖDERMANLANDS LÄN</t>
        </is>
      </c>
      <c r="E34" t="inlineStr">
        <is>
          <t>STRÄNGNÄS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HYPERLINK("https://klasma.github.io/Logging_0486/artfynd/A 43666-2022 artfynd.xlsx", "A 43666-2022")</f>
        <v/>
      </c>
      <c r="T34">
        <f>HYPERLINK("https://klasma.github.io/Logging_0486/kartor/A 43666-2022 karta.png", "A 43666-2022")</f>
        <v/>
      </c>
      <c r="V34">
        <f>HYPERLINK("https://klasma.github.io/Logging_0486/klagomål/A 43666-2022 FSC-klagomål.docx", "A 43666-2022")</f>
        <v/>
      </c>
      <c r="W34">
        <f>HYPERLINK("https://klasma.github.io/Logging_0486/klagomålsmail/A 43666-2022 FSC-klagomål mail.docx", "A 43666-2022")</f>
        <v/>
      </c>
      <c r="X34">
        <f>HYPERLINK("https://klasma.github.io/Logging_0486/tillsyn/A 43666-2022 tillsynsbegäran.docx", "A 43666-2022")</f>
        <v/>
      </c>
      <c r="Y34">
        <f>HYPERLINK("https://klasma.github.io/Logging_0486/tillsynsmail/A 43666-2022 tillsynsbegäran mail.docx", "A 43666-2022")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45566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2303-2023</t>
        </is>
      </c>
      <c r="B36" s="1" t="n">
        <v>44942</v>
      </c>
      <c r="C36" s="1" t="n">
        <v>45566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HYPERLINK("https://klasma.github.io/Logging_0486/artfynd/A 2303-2023 artfynd.xlsx", "A 2303-2023")</f>
        <v/>
      </c>
      <c r="T36">
        <f>HYPERLINK("https://klasma.github.io/Logging_0486/kartor/A 2303-2023 karta.png", "A 2303-2023")</f>
        <v/>
      </c>
      <c r="V36">
        <f>HYPERLINK("https://klasma.github.io/Logging_0486/klagomål/A 2303-2023 FSC-klagomål.docx", "A 2303-2023")</f>
        <v/>
      </c>
      <c r="W36">
        <f>HYPERLINK("https://klasma.github.io/Logging_0486/klagomålsmail/A 2303-2023 FSC-klagomål mail.docx", "A 2303-2023")</f>
        <v/>
      </c>
      <c r="X36">
        <f>HYPERLINK("https://klasma.github.io/Logging_0486/tillsyn/A 2303-2023 tillsynsbegäran.docx", "A 2303-2023")</f>
        <v/>
      </c>
      <c r="Y36">
        <f>HYPERLINK("https://klasma.github.io/Logging_0486/tillsynsmail/A 2303-2023 tillsynsbegäran mail.docx", "A 2303-2023")</f>
        <v/>
      </c>
    </row>
    <row r="37" ht="15" customHeight="1">
      <c r="A37" t="inlineStr">
        <is>
          <t>A 6570-2023</t>
        </is>
      </c>
      <c r="B37" s="1" t="n">
        <v>44963</v>
      </c>
      <c r="C37" s="1" t="n">
        <v>45566</v>
      </c>
      <c r="D37" t="inlineStr">
        <is>
          <t>SÖDERMANLANDS LÄN</t>
        </is>
      </c>
      <c r="E37" t="inlineStr">
        <is>
          <t>STRÄNGNÄS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HYPERLINK("https://klasma.github.io/Logging_0486/artfynd/A 6570-2023 artfynd.xlsx", "A 6570-2023")</f>
        <v/>
      </c>
      <c r="T37">
        <f>HYPERLINK("https://klasma.github.io/Logging_0486/kartor/A 6570-2023 karta.png", "A 6570-2023")</f>
        <v/>
      </c>
      <c r="U37">
        <f>HYPERLINK("https://klasma.github.io/Logging_0486/knärot/A 6570-2023 karta knärot.png", "A 6570-2023")</f>
        <v/>
      </c>
      <c r="V37">
        <f>HYPERLINK("https://klasma.github.io/Logging_0486/klagomål/A 6570-2023 FSC-klagomål.docx", "A 6570-2023")</f>
        <v/>
      </c>
      <c r="W37">
        <f>HYPERLINK("https://klasma.github.io/Logging_0486/klagomålsmail/A 6570-2023 FSC-klagomål mail.docx", "A 6570-2023")</f>
        <v/>
      </c>
      <c r="X37">
        <f>HYPERLINK("https://klasma.github.io/Logging_0486/tillsyn/A 6570-2023 tillsynsbegäran.docx", "A 6570-2023")</f>
        <v/>
      </c>
      <c r="Y37">
        <f>HYPERLINK("https://klasma.github.io/Logging_0486/tillsynsmail/A 6570-2023 tillsynsbegäran mail.docx", "A 6570-2023")</f>
        <v/>
      </c>
    </row>
    <row r="38" ht="15" customHeight="1">
      <c r="A38" t="inlineStr">
        <is>
          <t>A 50010-2023</t>
        </is>
      </c>
      <c r="B38" s="1" t="n">
        <v>45215</v>
      </c>
      <c r="C38" s="1" t="n">
        <v>45566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HYPERLINK("https://klasma.github.io/Logging_0486/artfynd/A 50010-2023 artfynd.xlsx", "A 50010-2023")</f>
        <v/>
      </c>
      <c r="T38">
        <f>HYPERLINK("https://klasma.github.io/Logging_0486/kartor/A 50010-2023 karta.png", "A 50010-2023")</f>
        <v/>
      </c>
      <c r="V38">
        <f>HYPERLINK("https://klasma.github.io/Logging_0486/klagomål/A 50010-2023 FSC-klagomål.docx", "A 50010-2023")</f>
        <v/>
      </c>
      <c r="W38">
        <f>HYPERLINK("https://klasma.github.io/Logging_0486/klagomålsmail/A 50010-2023 FSC-klagomål mail.docx", "A 50010-2023")</f>
        <v/>
      </c>
      <c r="X38">
        <f>HYPERLINK("https://klasma.github.io/Logging_0486/tillsyn/A 50010-2023 tillsynsbegäran.docx", "A 50010-2023")</f>
        <v/>
      </c>
      <c r="Y38">
        <f>HYPERLINK("https://klasma.github.io/Logging_0486/tillsynsmail/A 50010-2023 tillsynsbegäran mail.docx", "A 50010-2023")</f>
        <v/>
      </c>
    </row>
    <row r="39" ht="15" customHeight="1">
      <c r="A39" t="inlineStr">
        <is>
          <t>A 52643-2023</t>
        </is>
      </c>
      <c r="B39" s="1" t="n">
        <v>45219</v>
      </c>
      <c r="C39" s="1" t="n">
        <v>45566</v>
      </c>
      <c r="D39" t="inlineStr">
        <is>
          <t>SÖDERMANLANDS LÄN</t>
        </is>
      </c>
      <c r="E39" t="inlineStr">
        <is>
          <t>STRÄNGNÄS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HYPERLINK("https://klasma.github.io/Logging_0486/artfynd/A 52643-2023 artfynd.xlsx", "A 52643-2023")</f>
        <v/>
      </c>
      <c r="T39">
        <f>HYPERLINK("https://klasma.github.io/Logging_0486/kartor/A 52643-2023 karta.png", "A 52643-2023")</f>
        <v/>
      </c>
      <c r="V39">
        <f>HYPERLINK("https://klasma.github.io/Logging_0486/klagomål/A 52643-2023 FSC-klagomål.docx", "A 52643-2023")</f>
        <v/>
      </c>
      <c r="W39">
        <f>HYPERLINK("https://klasma.github.io/Logging_0486/klagomålsmail/A 52643-2023 FSC-klagomål mail.docx", "A 52643-2023")</f>
        <v/>
      </c>
      <c r="X39">
        <f>HYPERLINK("https://klasma.github.io/Logging_0486/tillsyn/A 52643-2023 tillsynsbegäran.docx", "A 52643-2023")</f>
        <v/>
      </c>
      <c r="Y39">
        <f>HYPERLINK("https://klasma.github.io/Logging_0486/tillsynsmail/A 52643-2023 tillsynsbegäran mail.docx", "A 52643-2023")</f>
        <v/>
      </c>
    </row>
    <row r="40" ht="15" customHeight="1">
      <c r="A40" t="inlineStr">
        <is>
          <t>A 52320-2023</t>
        </is>
      </c>
      <c r="B40" s="1" t="n">
        <v>45224</v>
      </c>
      <c r="C40" s="1" t="n">
        <v>45566</v>
      </c>
      <c r="D40" t="inlineStr">
        <is>
          <t>SÖDERMANLANDS LÄN</t>
        </is>
      </c>
      <c r="E40" t="inlineStr">
        <is>
          <t>STRÄNGNÄS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HYPERLINK("https://klasma.github.io/Logging_0486/artfynd/A 52320-2023 artfynd.xlsx", "A 52320-2023")</f>
        <v/>
      </c>
      <c r="T40">
        <f>HYPERLINK("https://klasma.github.io/Logging_0486/kartor/A 52320-2023 karta.png", "A 52320-2023")</f>
        <v/>
      </c>
      <c r="V40">
        <f>HYPERLINK("https://klasma.github.io/Logging_0486/klagomål/A 52320-2023 FSC-klagomål.docx", "A 52320-2023")</f>
        <v/>
      </c>
      <c r="W40">
        <f>HYPERLINK("https://klasma.github.io/Logging_0486/klagomålsmail/A 52320-2023 FSC-klagomål mail.docx", "A 52320-2023")</f>
        <v/>
      </c>
      <c r="X40">
        <f>HYPERLINK("https://klasma.github.io/Logging_0486/tillsyn/A 52320-2023 tillsynsbegäran.docx", "A 52320-2023")</f>
        <v/>
      </c>
      <c r="Y40">
        <f>HYPERLINK("https://klasma.github.io/Logging_0486/tillsynsmail/A 52320-2023 tillsynsbegäran mail.docx", "A 52320-2023")</f>
        <v/>
      </c>
    </row>
    <row r="41" ht="15" customHeight="1">
      <c r="A41" t="inlineStr">
        <is>
          <t>A 53930-2023</t>
        </is>
      </c>
      <c r="B41" s="1" t="n">
        <v>45225</v>
      </c>
      <c r="C41" s="1" t="n">
        <v>45566</v>
      </c>
      <c r="D41" t="inlineStr">
        <is>
          <t>SÖDERMANLANDS LÄN</t>
        </is>
      </c>
      <c r="E41" t="inlineStr">
        <is>
          <t>STRÄNGNÄS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Färgginst</t>
        </is>
      </c>
      <c r="S41">
        <f>HYPERLINK("https://klasma.github.io/Logging_0486/artfynd/A 53930-2023 artfynd.xlsx", "A 53930-2023")</f>
        <v/>
      </c>
      <c r="T41">
        <f>HYPERLINK("https://klasma.github.io/Logging_0486/kartor/A 53930-2023 karta.png", "A 53930-2023")</f>
        <v/>
      </c>
      <c r="V41">
        <f>HYPERLINK("https://klasma.github.io/Logging_0486/klagomål/A 53930-2023 FSC-klagomål.docx", "A 53930-2023")</f>
        <v/>
      </c>
      <c r="W41">
        <f>HYPERLINK("https://klasma.github.io/Logging_0486/klagomålsmail/A 53930-2023 FSC-klagomål mail.docx", "A 53930-2023")</f>
        <v/>
      </c>
      <c r="X41">
        <f>HYPERLINK("https://klasma.github.io/Logging_0486/tillsyn/A 53930-2023 tillsynsbegäran.docx", "A 53930-2023")</f>
        <v/>
      </c>
      <c r="Y41">
        <f>HYPERLINK("https://klasma.github.io/Logging_0486/tillsynsmail/A 53930-2023 tillsynsbegäran mail.docx", "A 53930-2023")</f>
        <v/>
      </c>
    </row>
    <row r="42" ht="15" customHeight="1">
      <c r="A42" t="inlineStr">
        <is>
          <t>A 52888-2023</t>
        </is>
      </c>
      <c r="B42" s="1" t="n">
        <v>45226</v>
      </c>
      <c r="C42" s="1" t="n">
        <v>45566</v>
      </c>
      <c r="D42" t="inlineStr">
        <is>
          <t>SÖDERMANLANDS LÄN</t>
        </is>
      </c>
      <c r="E42" t="inlineStr">
        <is>
          <t>STRÄNGNÄS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HYPERLINK("https://klasma.github.io/Logging_0486/artfynd/A 52888-2023 artfynd.xlsx", "A 52888-2023")</f>
        <v/>
      </c>
      <c r="T42">
        <f>HYPERLINK("https://klasma.github.io/Logging_0486/kartor/A 52888-2023 karta.png", "A 52888-2023")</f>
        <v/>
      </c>
      <c r="V42">
        <f>HYPERLINK("https://klasma.github.io/Logging_0486/klagomål/A 52888-2023 FSC-klagomål.docx", "A 52888-2023")</f>
        <v/>
      </c>
      <c r="W42">
        <f>HYPERLINK("https://klasma.github.io/Logging_0486/klagomålsmail/A 52888-2023 FSC-klagomål mail.docx", "A 52888-2023")</f>
        <v/>
      </c>
      <c r="X42">
        <f>HYPERLINK("https://klasma.github.io/Logging_0486/tillsyn/A 52888-2023 tillsynsbegäran.docx", "A 52888-2023")</f>
        <v/>
      </c>
      <c r="Y42">
        <f>HYPERLINK("https://klasma.github.io/Logging_0486/tillsynsmail/A 52888-2023 tillsynsbegäran mail.docx", "A 52888-2023")</f>
        <v/>
      </c>
      <c r="Z42">
        <f>HYPERLINK("https://klasma.github.io/Logging_0486/fåglar/A 52888-2023 prioriterade fågelarter.docx", "A 52888-2023")</f>
        <v/>
      </c>
    </row>
    <row r="43" ht="15" customHeight="1">
      <c r="A43" t="inlineStr">
        <is>
          <t>A 52847-2023</t>
        </is>
      </c>
      <c r="B43" s="1" t="n">
        <v>45226</v>
      </c>
      <c r="C43" s="1" t="n">
        <v>45566</v>
      </c>
      <c r="D43" t="inlineStr">
        <is>
          <t>SÖDERMANLANDS LÄN</t>
        </is>
      </c>
      <c r="E43" t="inlineStr">
        <is>
          <t>STRÄNGNÄS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HYPERLINK("https://klasma.github.io/Logging_0486/artfynd/A 52847-2023 artfynd.xlsx", "A 52847-2023")</f>
        <v/>
      </c>
      <c r="T43">
        <f>HYPERLINK("https://klasma.github.io/Logging_0486/kartor/A 52847-2023 karta.png", "A 52847-2023")</f>
        <v/>
      </c>
      <c r="V43">
        <f>HYPERLINK("https://klasma.github.io/Logging_0486/klagomål/A 52847-2023 FSC-klagomål.docx", "A 52847-2023")</f>
        <v/>
      </c>
      <c r="W43">
        <f>HYPERLINK("https://klasma.github.io/Logging_0486/klagomålsmail/A 52847-2023 FSC-klagomål mail.docx", "A 52847-2023")</f>
        <v/>
      </c>
      <c r="X43">
        <f>HYPERLINK("https://klasma.github.io/Logging_0486/tillsyn/A 52847-2023 tillsynsbegäran.docx", "A 52847-2023")</f>
        <v/>
      </c>
      <c r="Y43">
        <f>HYPERLINK("https://klasma.github.io/Logging_0486/tillsynsmail/A 52847-2023 tillsynsbegäran mail.docx", "A 52847-2023")</f>
        <v/>
      </c>
    </row>
    <row r="44" ht="15" customHeight="1">
      <c r="A44" t="inlineStr">
        <is>
          <t>A 35360-2024</t>
        </is>
      </c>
      <c r="B44" s="1" t="n">
        <v>45531</v>
      </c>
      <c r="C44" s="1" t="n">
        <v>45566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statliga verk och myndigheter</t>
        </is>
      </c>
      <c r="G44" t="n">
        <v>7.6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35360-2024 artfynd.xlsx", "A 35360-2024")</f>
        <v/>
      </c>
      <c r="T44">
        <f>HYPERLINK("https://klasma.github.io/Logging_0486/kartor/A 35360-2024 karta.png", "A 35360-2024")</f>
        <v/>
      </c>
      <c r="V44">
        <f>HYPERLINK("https://klasma.github.io/Logging_0486/klagomål/A 35360-2024 FSC-klagomål.docx", "A 35360-2024")</f>
        <v/>
      </c>
      <c r="W44">
        <f>HYPERLINK("https://klasma.github.io/Logging_0486/klagomålsmail/A 35360-2024 FSC-klagomål mail.docx", "A 35360-2024")</f>
        <v/>
      </c>
      <c r="X44">
        <f>HYPERLINK("https://klasma.github.io/Logging_0486/tillsyn/A 35360-2024 tillsynsbegäran.docx", "A 35360-2024")</f>
        <v/>
      </c>
      <c r="Y44">
        <f>HYPERLINK("https://klasma.github.io/Logging_0486/tillsynsmail/A 35360-2024 tillsynsbegäran mail.docx", "A 35360-2024")</f>
        <v/>
      </c>
    </row>
    <row r="45" ht="15" customHeight="1">
      <c r="A45" t="inlineStr">
        <is>
          <t>A 18324-2019</t>
        </is>
      </c>
      <c r="B45" s="1" t="n">
        <v>43557</v>
      </c>
      <c r="C45" s="1" t="n">
        <v>45566</v>
      </c>
      <c r="D45" t="inlineStr">
        <is>
          <t>SÖDERMANLANDS LÄN</t>
        </is>
      </c>
      <c r="E45" t="inlineStr">
        <is>
          <t>STRÄNGNÄS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18328-2019</t>
        </is>
      </c>
      <c r="B46" s="1" t="n">
        <v>43557</v>
      </c>
      <c r="C46" s="1" t="n">
        <v>45566</v>
      </c>
      <c r="D46" t="inlineStr">
        <is>
          <t>SÖDERMANLANDS LÄN</t>
        </is>
      </c>
      <c r="E46" t="inlineStr">
        <is>
          <t>STRÄNGNÄS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18561-2019</t>
        </is>
      </c>
      <c r="B47" s="1" t="n">
        <v>43559</v>
      </c>
      <c r="C47" s="1" t="n">
        <v>45566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18862-2019</t>
        </is>
      </c>
      <c r="B48" s="1" t="n">
        <v>43563</v>
      </c>
      <c r="C48" s="1" t="n">
        <v>45566</v>
      </c>
      <c r="D48" t="inlineStr">
        <is>
          <t>SÖDERMANLANDS LÄN</t>
        </is>
      </c>
      <c r="E48" t="inlineStr">
        <is>
          <t>STRÄNGNÄS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19874-2019</t>
        </is>
      </c>
      <c r="B49" s="1" t="n">
        <v>43567</v>
      </c>
      <c r="C49" s="1" t="n">
        <v>45566</v>
      </c>
      <c r="D49" t="inlineStr">
        <is>
          <t>SÖDERMANLANDS LÄN</t>
        </is>
      </c>
      <c r="E49" t="inlineStr">
        <is>
          <t>STRÄNGNÄS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20666-2019</t>
        </is>
      </c>
      <c r="B50" s="1" t="n">
        <v>43572</v>
      </c>
      <c r="C50" s="1" t="n">
        <v>45566</v>
      </c>
      <c r="D50" t="inlineStr">
        <is>
          <t>SÖDERMANLANDS LÄN</t>
        </is>
      </c>
      <c r="E50" t="inlineStr">
        <is>
          <t>STRÄNGNÄS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23265-2019</t>
        </is>
      </c>
      <c r="B51" s="1" t="n">
        <v>43591</v>
      </c>
      <c r="C51" s="1" t="n">
        <v>45566</v>
      </c>
      <c r="D51" t="inlineStr">
        <is>
          <t>SÖDERMANLANDS LÄN</t>
        </is>
      </c>
      <c r="E51" t="inlineStr">
        <is>
          <t>STRÄNGNÄS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23267-2019</t>
        </is>
      </c>
      <c r="B52" s="1" t="n">
        <v>43592</v>
      </c>
      <c r="C52" s="1" t="n">
        <v>45566</v>
      </c>
      <c r="D52" t="inlineStr">
        <is>
          <t>SÖDERMANLANDS LÄN</t>
        </is>
      </c>
      <c r="E52" t="inlineStr">
        <is>
          <t>STRÄNGNÄS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27951-2019</t>
        </is>
      </c>
      <c r="B53" s="1" t="n">
        <v>43612</v>
      </c>
      <c r="C53" s="1" t="n">
        <v>45566</v>
      </c>
      <c r="D53" t="inlineStr">
        <is>
          <t>SÖDERMANLANDS LÄN</t>
        </is>
      </c>
      <c r="E53" t="inlineStr">
        <is>
          <t>STRÄNGNÄS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28982-2019</t>
        </is>
      </c>
      <c r="B54" s="1" t="n">
        <v>43628</v>
      </c>
      <c r="C54" s="1" t="n">
        <v>45566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29125-2019</t>
        </is>
      </c>
      <c r="B55" s="1" t="n">
        <v>43628</v>
      </c>
      <c r="C55" s="1" t="n">
        <v>45566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30669-2019</t>
        </is>
      </c>
      <c r="B56" s="1" t="n">
        <v>43636</v>
      </c>
      <c r="C56" s="1" t="n">
        <v>45566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30646-2019</t>
        </is>
      </c>
      <c r="B57" s="1" t="n">
        <v>43636</v>
      </c>
      <c r="C57" s="1" t="n">
        <v>45566</v>
      </c>
      <c r="D57" t="inlineStr">
        <is>
          <t>SÖDERMANLANDS LÄN</t>
        </is>
      </c>
      <c r="E57" t="inlineStr">
        <is>
          <t>STRÄNGNÄS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30692-2019</t>
        </is>
      </c>
      <c r="B58" s="1" t="n">
        <v>43636</v>
      </c>
      <c r="C58" s="1" t="n">
        <v>45566</v>
      </c>
      <c r="D58" t="inlineStr">
        <is>
          <t>SÖDERMANLANDS LÄN</t>
        </is>
      </c>
      <c r="E58" t="inlineStr">
        <is>
          <t>STRÄNGNÄS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31388-2019</t>
        </is>
      </c>
      <c r="B59" s="1" t="n">
        <v>43636</v>
      </c>
      <c r="C59" s="1" t="n">
        <v>45566</v>
      </c>
      <c r="D59" t="inlineStr">
        <is>
          <t>SÖDERMANLANDS LÄN</t>
        </is>
      </c>
      <c r="E59" t="inlineStr">
        <is>
          <t>STRÄNGNÄS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32196-2019</t>
        </is>
      </c>
      <c r="B60" s="1" t="n">
        <v>43643</v>
      </c>
      <c r="C60" s="1" t="n">
        <v>45566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34203-2019</t>
        </is>
      </c>
      <c r="B61" s="1" t="n">
        <v>43644</v>
      </c>
      <c r="C61" s="1" t="n">
        <v>45566</v>
      </c>
      <c r="D61" t="inlineStr">
        <is>
          <t>SÖDERMANLANDS LÄN</t>
        </is>
      </c>
      <c r="E61" t="inlineStr">
        <is>
          <t>STRÄNGNÄS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34148-2019</t>
        </is>
      </c>
      <c r="B62" s="1" t="n">
        <v>43644</v>
      </c>
      <c r="C62" s="1" t="n">
        <v>45566</v>
      </c>
      <c r="D62" t="inlineStr">
        <is>
          <t>SÖDERMANLANDS LÄN</t>
        </is>
      </c>
      <c r="E62" t="inlineStr">
        <is>
          <t>STRÄNGNÄS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34199-2019</t>
        </is>
      </c>
      <c r="B63" s="1" t="n">
        <v>43644</v>
      </c>
      <c r="C63" s="1" t="n">
        <v>45566</v>
      </c>
      <c r="D63" t="inlineStr">
        <is>
          <t>SÖDERMANLANDS LÄN</t>
        </is>
      </c>
      <c r="E63" t="inlineStr">
        <is>
          <t>STRÄNGNÄS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32870-2019</t>
        </is>
      </c>
      <c r="B64" s="1" t="n">
        <v>43648</v>
      </c>
      <c r="C64" s="1" t="n">
        <v>45566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33074-2019</t>
        </is>
      </c>
      <c r="B65" s="1" t="n">
        <v>43649</v>
      </c>
      <c r="C65" s="1" t="n">
        <v>45566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33113-2019</t>
        </is>
      </c>
      <c r="B66" s="1" t="n">
        <v>43649</v>
      </c>
      <c r="C66" s="1" t="n">
        <v>45566</v>
      </c>
      <c r="D66" t="inlineStr">
        <is>
          <t>SÖDERMANLANDS LÄN</t>
        </is>
      </c>
      <c r="E66" t="inlineStr">
        <is>
          <t>STRÄNGNÄS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33000-2019</t>
        </is>
      </c>
      <c r="B67" s="1" t="n">
        <v>43649</v>
      </c>
      <c r="C67" s="1" t="n">
        <v>45566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33488-2019</t>
        </is>
      </c>
      <c r="B68" s="1" t="n">
        <v>43651</v>
      </c>
      <c r="C68" s="1" t="n">
        <v>45566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33760-2019</t>
        </is>
      </c>
      <c r="B69" s="1" t="n">
        <v>43651</v>
      </c>
      <c r="C69" s="1" t="n">
        <v>45566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33804-2019</t>
        </is>
      </c>
      <c r="B70" s="1" t="n">
        <v>43651</v>
      </c>
      <c r="C70" s="1" t="n">
        <v>45566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36449-2019</t>
        </is>
      </c>
      <c r="B71" s="1" t="n">
        <v>43664</v>
      </c>
      <c r="C71" s="1" t="n">
        <v>45566</v>
      </c>
      <c r="D71" t="inlineStr">
        <is>
          <t>SÖDERMANLANDS LÄN</t>
        </is>
      </c>
      <c r="E71" t="inlineStr">
        <is>
          <t>STRÄNGNÄS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36098-2019</t>
        </is>
      </c>
      <c r="B72" s="1" t="n">
        <v>43668</v>
      </c>
      <c r="C72" s="1" t="n">
        <v>45566</v>
      </c>
      <c r="D72" t="inlineStr">
        <is>
          <t>SÖDERMANLANDS LÄN</t>
        </is>
      </c>
      <c r="E72" t="inlineStr">
        <is>
          <t>STRÄNGNÄS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37562-2019</t>
        </is>
      </c>
      <c r="B73" s="1" t="n">
        <v>43679</v>
      </c>
      <c r="C73" s="1" t="n">
        <v>45566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38409-2019</t>
        </is>
      </c>
      <c r="B74" s="1" t="n">
        <v>43683</v>
      </c>
      <c r="C74" s="1" t="n">
        <v>45566</v>
      </c>
      <c r="D74" t="inlineStr">
        <is>
          <t>SÖDERMANLANDS LÄN</t>
        </is>
      </c>
      <c r="E74" t="inlineStr">
        <is>
          <t>STRÄNGNÄS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39328-2019</t>
        </is>
      </c>
      <c r="B75" s="1" t="n">
        <v>43690</v>
      </c>
      <c r="C75" s="1" t="n">
        <v>45566</v>
      </c>
      <c r="D75" t="inlineStr">
        <is>
          <t>SÖDERMANLANDS LÄN</t>
        </is>
      </c>
      <c r="E75" t="inlineStr">
        <is>
          <t>STRÄNGNÄS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39334-2019</t>
        </is>
      </c>
      <c r="B76" s="1" t="n">
        <v>43690</v>
      </c>
      <c r="C76" s="1" t="n">
        <v>45566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39691-2019</t>
        </is>
      </c>
      <c r="B77" s="1" t="n">
        <v>43691</v>
      </c>
      <c r="C77" s="1" t="n">
        <v>45566</v>
      </c>
      <c r="D77" t="inlineStr">
        <is>
          <t>SÖDERMANLANDS LÄN</t>
        </is>
      </c>
      <c r="E77" t="inlineStr">
        <is>
          <t>STRÄNGNÄS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39731-2019</t>
        </is>
      </c>
      <c r="B78" s="1" t="n">
        <v>43691</v>
      </c>
      <c r="C78" s="1" t="n">
        <v>45566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41718-2019</t>
        </is>
      </c>
      <c r="B79" s="1" t="n">
        <v>43699</v>
      </c>
      <c r="C79" s="1" t="n">
        <v>45566</v>
      </c>
      <c r="D79" t="inlineStr">
        <is>
          <t>SÖDERMANLANDS LÄN</t>
        </is>
      </c>
      <c r="E79" t="inlineStr">
        <is>
          <t>STRÄNGNÄS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41975-2019</t>
        </is>
      </c>
      <c r="B80" s="1" t="n">
        <v>43700</v>
      </c>
      <c r="C80" s="1" t="n">
        <v>45566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43571-2019</t>
        </is>
      </c>
      <c r="B81" s="1" t="n">
        <v>43706</v>
      </c>
      <c r="C81" s="1" t="n">
        <v>45566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47825-2019</t>
        </is>
      </c>
      <c r="B82" s="1" t="n">
        <v>43725</v>
      </c>
      <c r="C82" s="1" t="n">
        <v>45566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48792-2019</t>
        </is>
      </c>
      <c r="B83" s="1" t="n">
        <v>43727</v>
      </c>
      <c r="C83" s="1" t="n">
        <v>45566</v>
      </c>
      <c r="D83" t="inlineStr">
        <is>
          <t>SÖDERMANLANDS LÄN</t>
        </is>
      </c>
      <c r="E83" t="inlineStr">
        <is>
          <t>STRÄNGNÄS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50176-2019</t>
        </is>
      </c>
      <c r="B84" s="1" t="n">
        <v>43734</v>
      </c>
      <c r="C84" s="1" t="n">
        <v>45566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50205-2019</t>
        </is>
      </c>
      <c r="B85" s="1" t="n">
        <v>43734</v>
      </c>
      <c r="C85" s="1" t="n">
        <v>45566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51468-2019</t>
        </is>
      </c>
      <c r="B86" s="1" t="n">
        <v>43740</v>
      </c>
      <c r="C86" s="1" t="n">
        <v>45566</v>
      </c>
      <c r="D86" t="inlineStr">
        <is>
          <t>SÖDERMANLANDS LÄN</t>
        </is>
      </c>
      <c r="E86" t="inlineStr">
        <is>
          <t>STRÄNGNÄS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54024-2019</t>
        </is>
      </c>
      <c r="B87" s="1" t="n">
        <v>43742</v>
      </c>
      <c r="C87" s="1" t="n">
        <v>45566</v>
      </c>
      <c r="D87" t="inlineStr">
        <is>
          <t>SÖDERMANLANDS LÄN</t>
        </is>
      </c>
      <c r="E87" t="inlineStr">
        <is>
          <t>STRÄNGNÄS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54017-2019</t>
        </is>
      </c>
      <c r="B88" s="1" t="n">
        <v>43742</v>
      </c>
      <c r="C88" s="1" t="n">
        <v>45566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54028-2019</t>
        </is>
      </c>
      <c r="B89" s="1" t="n">
        <v>43742</v>
      </c>
      <c r="C89" s="1" t="n">
        <v>45566</v>
      </c>
      <c r="D89" t="inlineStr">
        <is>
          <t>SÖDERMANLANDS LÄN</t>
        </is>
      </c>
      <c r="E89" t="inlineStr">
        <is>
          <t>STRÄNGNÄS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59220-2019</t>
        </is>
      </c>
      <c r="B90" s="1" t="n">
        <v>43775</v>
      </c>
      <c r="C90" s="1" t="n">
        <v>45566</v>
      </c>
      <c r="D90" t="inlineStr">
        <is>
          <t>SÖDERMANLANDS LÄN</t>
        </is>
      </c>
      <c r="E90" t="inlineStr">
        <is>
          <t>STRÄNGNÄS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60466-2019</t>
        </is>
      </c>
      <c r="B91" s="1" t="n">
        <v>43780</v>
      </c>
      <c r="C91" s="1" t="n">
        <v>45566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61402-2019</t>
        </is>
      </c>
      <c r="B92" s="1" t="n">
        <v>43783</v>
      </c>
      <c r="C92" s="1" t="n">
        <v>45566</v>
      </c>
      <c r="D92" t="inlineStr">
        <is>
          <t>SÖDERMANLANDS LÄN</t>
        </is>
      </c>
      <c r="E92" t="inlineStr">
        <is>
          <t>STRÄNGNÄS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61432-2019</t>
        </is>
      </c>
      <c r="B93" s="1" t="n">
        <v>43783</v>
      </c>
      <c r="C93" s="1" t="n">
        <v>45566</v>
      </c>
      <c r="D93" t="inlineStr">
        <is>
          <t>SÖDERMANLANDS LÄN</t>
        </is>
      </c>
      <c r="E93" t="inlineStr">
        <is>
          <t>STRÄNGNÄS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62161-2019</t>
        </is>
      </c>
      <c r="B94" s="1" t="n">
        <v>43787</v>
      </c>
      <c r="C94" s="1" t="n">
        <v>45566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62566-2019</t>
        </is>
      </c>
      <c r="B95" s="1" t="n">
        <v>43789</v>
      </c>
      <c r="C95" s="1" t="n">
        <v>45566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62874-2019</t>
        </is>
      </c>
      <c r="B96" s="1" t="n">
        <v>43790</v>
      </c>
      <c r="C96" s="1" t="n">
        <v>45566</v>
      </c>
      <c r="D96" t="inlineStr">
        <is>
          <t>SÖDERMANLANDS LÄN</t>
        </is>
      </c>
      <c r="E96" t="inlineStr">
        <is>
          <t>STRÄNGNÄS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63058-2019</t>
        </is>
      </c>
      <c r="B97" s="1" t="n">
        <v>43791</v>
      </c>
      <c r="C97" s="1" t="n">
        <v>45566</v>
      </c>
      <c r="D97" t="inlineStr">
        <is>
          <t>SÖDERMANLANDS LÄN</t>
        </is>
      </c>
      <c r="E97" t="inlineStr">
        <is>
          <t>STRÄNGNÄS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64167-2019</t>
        </is>
      </c>
      <c r="B98" s="1" t="n">
        <v>43797</v>
      </c>
      <c r="C98" s="1" t="n">
        <v>45566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64795-2019</t>
        </is>
      </c>
      <c r="B99" s="1" t="n">
        <v>43801</v>
      </c>
      <c r="C99" s="1" t="n">
        <v>45566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67661-2019</t>
        </is>
      </c>
      <c r="B100" s="1" t="n">
        <v>43809</v>
      </c>
      <c r="C100" s="1" t="n">
        <v>45566</v>
      </c>
      <c r="D100" t="inlineStr">
        <is>
          <t>SÖDERMANLANDS LÄN</t>
        </is>
      </c>
      <c r="E100" t="inlineStr">
        <is>
          <t>STRÄNGNÄS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67401-2019</t>
        </is>
      </c>
      <c r="B101" s="1" t="n">
        <v>43812</v>
      </c>
      <c r="C101" s="1" t="n">
        <v>45566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883-2020</t>
        </is>
      </c>
      <c r="B102" s="1" t="n">
        <v>43839</v>
      </c>
      <c r="C102" s="1" t="n">
        <v>45566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statliga verk och myndigheter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2385-2020</t>
        </is>
      </c>
      <c r="B103" s="1" t="n">
        <v>43847</v>
      </c>
      <c r="C103" s="1" t="n">
        <v>45566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2526-2020</t>
        </is>
      </c>
      <c r="B104" s="1" t="n">
        <v>43847</v>
      </c>
      <c r="C104" s="1" t="n">
        <v>45566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4139-2020</t>
        </is>
      </c>
      <c r="B105" s="1" t="n">
        <v>43857</v>
      </c>
      <c r="C105" s="1" t="n">
        <v>45566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5429-2020</t>
        </is>
      </c>
      <c r="B106" s="1" t="n">
        <v>43858</v>
      </c>
      <c r="C106" s="1" t="n">
        <v>45566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5438-2020</t>
        </is>
      </c>
      <c r="B107" s="1" t="n">
        <v>43859</v>
      </c>
      <c r="C107" s="1" t="n">
        <v>45566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5646-2020</t>
        </is>
      </c>
      <c r="B108" s="1" t="n">
        <v>43860</v>
      </c>
      <c r="C108" s="1" t="n">
        <v>45566</v>
      </c>
      <c r="D108" t="inlineStr">
        <is>
          <t>SÖDERMANLANDS LÄN</t>
        </is>
      </c>
      <c r="E108" t="inlineStr">
        <is>
          <t>STRÄNGNÄS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5643-2020</t>
        </is>
      </c>
      <c r="B109" s="1" t="n">
        <v>43860</v>
      </c>
      <c r="C109" s="1" t="n">
        <v>45566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6171-2020</t>
        </is>
      </c>
      <c r="B110" s="1" t="n">
        <v>43865</v>
      </c>
      <c r="C110" s="1" t="n">
        <v>45566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9418-2020</t>
        </is>
      </c>
      <c r="B111" s="1" t="n">
        <v>43880</v>
      </c>
      <c r="C111" s="1" t="n">
        <v>45566</v>
      </c>
      <c r="D111" t="inlineStr">
        <is>
          <t>SÖDERMANLANDS LÄN</t>
        </is>
      </c>
      <c r="E111" t="inlineStr">
        <is>
          <t>STRÄNGNÄS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9909-2020</t>
        </is>
      </c>
      <c r="B112" s="1" t="n">
        <v>43881</v>
      </c>
      <c r="C112" s="1" t="n">
        <v>45566</v>
      </c>
      <c r="D112" t="inlineStr">
        <is>
          <t>SÖDERMANLANDS LÄN</t>
        </is>
      </c>
      <c r="E112" t="inlineStr">
        <is>
          <t>STRÄNGNÄS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9978-2020</t>
        </is>
      </c>
      <c r="B113" s="1" t="n">
        <v>43882</v>
      </c>
      <c r="C113" s="1" t="n">
        <v>45566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9985-2020</t>
        </is>
      </c>
      <c r="B114" s="1" t="n">
        <v>43882</v>
      </c>
      <c r="C114" s="1" t="n">
        <v>45566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10348-2020</t>
        </is>
      </c>
      <c r="B115" s="1" t="n">
        <v>43885</v>
      </c>
      <c r="C115" s="1" t="n">
        <v>45566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12129-2020</t>
        </is>
      </c>
      <c r="B116" s="1" t="n">
        <v>43895</v>
      </c>
      <c r="C116" s="1" t="n">
        <v>45566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12123-2020</t>
        </is>
      </c>
      <c r="B117" s="1" t="n">
        <v>43895</v>
      </c>
      <c r="C117" s="1" t="n">
        <v>45566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12115-2020</t>
        </is>
      </c>
      <c r="B118" s="1" t="n">
        <v>43895</v>
      </c>
      <c r="C118" s="1" t="n">
        <v>45566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12494-2020</t>
        </is>
      </c>
      <c r="B119" s="1" t="n">
        <v>43896</v>
      </c>
      <c r="C119" s="1" t="n">
        <v>45566</v>
      </c>
      <c r="D119" t="inlineStr">
        <is>
          <t>SÖDERMANLANDS LÄN</t>
        </is>
      </c>
      <c r="E119" t="inlineStr">
        <is>
          <t>STRÄNGNÄS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14363-2020</t>
        </is>
      </c>
      <c r="B120" s="1" t="n">
        <v>43902</v>
      </c>
      <c r="C120" s="1" t="n">
        <v>45566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15532-2020</t>
        </is>
      </c>
      <c r="B121" s="1" t="n">
        <v>43914</v>
      </c>
      <c r="C121" s="1" t="n">
        <v>45566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16698-2020</t>
        </is>
      </c>
      <c r="B122" s="1" t="n">
        <v>43920</v>
      </c>
      <c r="C122" s="1" t="n">
        <v>45566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16692-2020</t>
        </is>
      </c>
      <c r="B123" s="1" t="n">
        <v>43920</v>
      </c>
      <c r="C123" s="1" t="n">
        <v>45566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17123-2020</t>
        </is>
      </c>
      <c r="B124" s="1" t="n">
        <v>43922</v>
      </c>
      <c r="C124" s="1" t="n">
        <v>45566</v>
      </c>
      <c r="D124" t="inlineStr">
        <is>
          <t>SÖDERMANLANDS LÄN</t>
        </is>
      </c>
      <c r="E124" t="inlineStr">
        <is>
          <t>STRÄNGNÄS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18813-2020</t>
        </is>
      </c>
      <c r="B125" s="1" t="n">
        <v>43934</v>
      </c>
      <c r="C125" s="1" t="n">
        <v>45566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19274-2020</t>
        </is>
      </c>
      <c r="B126" s="1" t="n">
        <v>43937</v>
      </c>
      <c r="C126" s="1" t="n">
        <v>45566</v>
      </c>
      <c r="D126" t="inlineStr">
        <is>
          <t>SÖDERMANLANDS LÄN</t>
        </is>
      </c>
      <c r="E126" t="inlineStr">
        <is>
          <t>STRÄNGNÄS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20044-2020</t>
        </is>
      </c>
      <c r="B127" s="1" t="n">
        <v>43943</v>
      </c>
      <c r="C127" s="1" t="n">
        <v>45566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20644-2020</t>
        </is>
      </c>
      <c r="B128" s="1" t="n">
        <v>43949</v>
      </c>
      <c r="C128" s="1" t="n">
        <v>45566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22087-2020</t>
        </is>
      </c>
      <c r="B129" s="1" t="n">
        <v>43959</v>
      </c>
      <c r="C129" s="1" t="n">
        <v>45566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24678-2020</t>
        </is>
      </c>
      <c r="B130" s="1" t="n">
        <v>43977</v>
      </c>
      <c r="C130" s="1" t="n">
        <v>45566</v>
      </c>
      <c r="D130" t="inlineStr">
        <is>
          <t>SÖDERMANLANDS LÄN</t>
        </is>
      </c>
      <c r="E130" t="inlineStr">
        <is>
          <t>STRÄNGNÄS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30052-2020</t>
        </is>
      </c>
      <c r="B131" s="1" t="n">
        <v>44006</v>
      </c>
      <c r="C131" s="1" t="n">
        <v>45566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31627-2020</t>
        </is>
      </c>
      <c r="B132" s="1" t="n">
        <v>44013</v>
      </c>
      <c r="C132" s="1" t="n">
        <v>45566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32220-2020</t>
        </is>
      </c>
      <c r="B133" s="1" t="n">
        <v>44015</v>
      </c>
      <c r="C133" s="1" t="n">
        <v>45566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33488-2020</t>
        </is>
      </c>
      <c r="B134" s="1" t="n">
        <v>44024</v>
      </c>
      <c r="C134" s="1" t="n">
        <v>45566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33510-2020</t>
        </is>
      </c>
      <c r="B135" s="1" t="n">
        <v>44025</v>
      </c>
      <c r="C135" s="1" t="n">
        <v>45566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33743-2020</t>
        </is>
      </c>
      <c r="B136" s="1" t="n">
        <v>44026</v>
      </c>
      <c r="C136" s="1" t="n">
        <v>45566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33738-2020</t>
        </is>
      </c>
      <c r="B137" s="1" t="n">
        <v>44026</v>
      </c>
      <c r="C137" s="1" t="n">
        <v>45566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35186-2020</t>
        </is>
      </c>
      <c r="B138" s="1" t="n">
        <v>44040</v>
      </c>
      <c r="C138" s="1" t="n">
        <v>45566</v>
      </c>
      <c r="D138" t="inlineStr">
        <is>
          <t>SÖDERMANLANDS LÄN</t>
        </is>
      </c>
      <c r="E138" t="inlineStr">
        <is>
          <t>STRÄNGNÄS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35383-2020</t>
        </is>
      </c>
      <c r="B139" s="1" t="n">
        <v>44042</v>
      </c>
      <c r="C139" s="1" t="n">
        <v>45566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35788-2020</t>
        </is>
      </c>
      <c r="B140" s="1" t="n">
        <v>44046</v>
      </c>
      <c r="C140" s="1" t="n">
        <v>45566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36998-2020</t>
        </is>
      </c>
      <c r="B141" s="1" t="n">
        <v>44054</v>
      </c>
      <c r="C141" s="1" t="n">
        <v>45566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37435-2020</t>
        </is>
      </c>
      <c r="B142" s="1" t="n">
        <v>44055</v>
      </c>
      <c r="C142" s="1" t="n">
        <v>45566</v>
      </c>
      <c r="D142" t="inlineStr">
        <is>
          <t>SÖDERMANLANDS LÄN</t>
        </is>
      </c>
      <c r="E142" t="inlineStr">
        <is>
          <t>STRÄNGNÄS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37438-2020</t>
        </is>
      </c>
      <c r="B143" s="1" t="n">
        <v>44055</v>
      </c>
      <c r="C143" s="1" t="n">
        <v>45566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40428-2020</t>
        </is>
      </c>
      <c r="B144" s="1" t="n">
        <v>44069</v>
      </c>
      <c r="C144" s="1" t="n">
        <v>45566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40722-2020</t>
        </is>
      </c>
      <c r="B145" s="1" t="n">
        <v>44069</v>
      </c>
      <c r="C145" s="1" t="n">
        <v>45566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41140-2020</t>
        </is>
      </c>
      <c r="B146" s="1" t="n">
        <v>44069</v>
      </c>
      <c r="C146" s="1" t="n">
        <v>45566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41318-2020</t>
        </is>
      </c>
      <c r="B147" s="1" t="n">
        <v>44071</v>
      </c>
      <c r="C147" s="1" t="n">
        <v>45566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43378-2020</t>
        </is>
      </c>
      <c r="B148" s="1" t="n">
        <v>44081</v>
      </c>
      <c r="C148" s="1" t="n">
        <v>45566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44594-2020</t>
        </is>
      </c>
      <c r="B149" s="1" t="n">
        <v>44085</v>
      </c>
      <c r="C149" s="1" t="n">
        <v>45566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48757-2020</t>
        </is>
      </c>
      <c r="B150" s="1" t="n">
        <v>44099</v>
      </c>
      <c r="C150" s="1" t="n">
        <v>45566</v>
      </c>
      <c r="D150" t="inlineStr">
        <is>
          <t>SÖDERMANLANDS LÄN</t>
        </is>
      </c>
      <c r="E150" t="inlineStr">
        <is>
          <t>STRÄNGNÄS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50757-2020</t>
        </is>
      </c>
      <c r="B151" s="1" t="n">
        <v>44105</v>
      </c>
      <c r="C151" s="1" t="n">
        <v>45566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50769-2020</t>
        </is>
      </c>
      <c r="B152" s="1" t="n">
        <v>44105</v>
      </c>
      <c r="C152" s="1" t="n">
        <v>45566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50067-2020</t>
        </is>
      </c>
      <c r="B153" s="1" t="n">
        <v>44109</v>
      </c>
      <c r="C153" s="1" t="n">
        <v>45566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53812-2020</t>
        </is>
      </c>
      <c r="B154" s="1" t="n">
        <v>44124</v>
      </c>
      <c r="C154" s="1" t="n">
        <v>45566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53885-2020</t>
        </is>
      </c>
      <c r="B155" s="1" t="n">
        <v>44124</v>
      </c>
      <c r="C155" s="1" t="n">
        <v>45566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53897-2020</t>
        </is>
      </c>
      <c r="B156" s="1" t="n">
        <v>44124</v>
      </c>
      <c r="C156" s="1" t="n">
        <v>45566</v>
      </c>
      <c r="D156" t="inlineStr">
        <is>
          <t>SÖDERMANLANDS LÄN</t>
        </is>
      </c>
      <c r="E156" t="inlineStr">
        <is>
          <t>STRÄNGNÄS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54341-2020</t>
        </is>
      </c>
      <c r="B157" s="1" t="n">
        <v>44126</v>
      </c>
      <c r="C157" s="1" t="n">
        <v>45566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54353-2020</t>
        </is>
      </c>
      <c r="B158" s="1" t="n">
        <v>44126</v>
      </c>
      <c r="C158" s="1" t="n">
        <v>45566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55686-2020</t>
        </is>
      </c>
      <c r="B159" s="1" t="n">
        <v>44131</v>
      </c>
      <c r="C159" s="1" t="n">
        <v>45566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45566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56905-2020</t>
        </is>
      </c>
      <c r="B161" s="1" t="n">
        <v>44138</v>
      </c>
      <c r="C161" s="1" t="n">
        <v>45566</v>
      </c>
      <c r="D161" t="inlineStr">
        <is>
          <t>SÖDERMANLANDS LÄN</t>
        </is>
      </c>
      <c r="E161" t="inlineStr">
        <is>
          <t>STRÄNGNÄS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57642-2020</t>
        </is>
      </c>
      <c r="B162" s="1" t="n">
        <v>44140</v>
      </c>
      <c r="C162" s="1" t="n">
        <v>45566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HYPERLINK("https://klasma.github.io/Logging_0486/knärot/A 57642-2020 karta knärot.png", "A 57642-2020")</f>
        <v/>
      </c>
      <c r="V162">
        <f>HYPERLINK("https://klasma.github.io/Logging_0486/klagomål/A 57642-2020 FSC-klagomål.docx", "A 57642-2020")</f>
        <v/>
      </c>
      <c r="W162">
        <f>HYPERLINK("https://klasma.github.io/Logging_0486/klagomålsmail/A 57642-2020 FSC-klagomål mail.docx", "A 57642-2020")</f>
        <v/>
      </c>
      <c r="X162">
        <f>HYPERLINK("https://klasma.github.io/Logging_0486/tillsyn/A 57642-2020 tillsynsbegäran.docx", "A 57642-2020")</f>
        <v/>
      </c>
      <c r="Y162">
        <f>HYPERLINK("https://klasma.github.io/Logging_0486/tillsynsmail/A 57642-2020 tillsynsbegäran mail.docx", "A 57642-2020")</f>
        <v/>
      </c>
    </row>
    <row r="163" ht="15" customHeight="1">
      <c r="A163" t="inlineStr">
        <is>
          <t>A 57519-2020</t>
        </is>
      </c>
      <c r="B163" s="1" t="n">
        <v>44140</v>
      </c>
      <c r="C163" s="1" t="n">
        <v>45566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61750-2020</t>
        </is>
      </c>
      <c r="B164" s="1" t="n">
        <v>44158</v>
      </c>
      <c r="C164" s="1" t="n">
        <v>45566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66302-2020</t>
        </is>
      </c>
      <c r="B165" s="1" t="n">
        <v>44174</v>
      </c>
      <c r="C165" s="1" t="n">
        <v>45566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45566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66583-2020</t>
        </is>
      </c>
      <c r="B167" s="1" t="n">
        <v>44179</v>
      </c>
      <c r="C167" s="1" t="n">
        <v>45566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68613-2020</t>
        </is>
      </c>
      <c r="B168" s="1" t="n">
        <v>44186</v>
      </c>
      <c r="C168" s="1" t="n">
        <v>45566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68611-2020</t>
        </is>
      </c>
      <c r="B169" s="1" t="n">
        <v>44186</v>
      </c>
      <c r="C169" s="1" t="n">
        <v>45566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69047-2020</t>
        </is>
      </c>
      <c r="B170" s="1" t="n">
        <v>44188</v>
      </c>
      <c r="C170" s="1" t="n">
        <v>45566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1518-2021</t>
        </is>
      </c>
      <c r="B171" s="1" t="n">
        <v>44208</v>
      </c>
      <c r="C171" s="1" t="n">
        <v>45566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1787-2021</t>
        </is>
      </c>
      <c r="B172" s="1" t="n">
        <v>44210</v>
      </c>
      <c r="C172" s="1" t="n">
        <v>45566</v>
      </c>
      <c r="D172" t="inlineStr">
        <is>
          <t>SÖDERMANLANDS LÄN</t>
        </is>
      </c>
      <c r="E172" t="inlineStr">
        <is>
          <t>STRÄNGNÄS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45566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45566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1869-2021</t>
        </is>
      </c>
      <c r="B175" s="1" t="n">
        <v>44210</v>
      </c>
      <c r="C175" s="1" t="n">
        <v>45566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1783-2021</t>
        </is>
      </c>
      <c r="B176" s="1" t="n">
        <v>44210</v>
      </c>
      <c r="C176" s="1" t="n">
        <v>45566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1860-2021</t>
        </is>
      </c>
      <c r="B177" s="1" t="n">
        <v>44210</v>
      </c>
      <c r="C177" s="1" t="n">
        <v>45566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1816-2021</t>
        </is>
      </c>
      <c r="B178" s="1" t="n">
        <v>44210</v>
      </c>
      <c r="C178" s="1" t="n">
        <v>45566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1856-2021</t>
        </is>
      </c>
      <c r="B179" s="1" t="n">
        <v>44210</v>
      </c>
      <c r="C179" s="1" t="n">
        <v>45566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1866-2021</t>
        </is>
      </c>
      <c r="B180" s="1" t="n">
        <v>44210</v>
      </c>
      <c r="C180" s="1" t="n">
        <v>45566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3938-2021</t>
        </is>
      </c>
      <c r="B181" s="1" t="n">
        <v>44218</v>
      </c>
      <c r="C181" s="1" t="n">
        <v>45566</v>
      </c>
      <c r="D181" t="inlineStr">
        <is>
          <t>SÖDERMANLANDS LÄN</t>
        </is>
      </c>
      <c r="E181" t="inlineStr">
        <is>
          <t>STRÄNGNÄS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3923-2021</t>
        </is>
      </c>
      <c r="B182" s="1" t="n">
        <v>44218</v>
      </c>
      <c r="C182" s="1" t="n">
        <v>45566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3943-2021</t>
        </is>
      </c>
      <c r="B183" s="1" t="n">
        <v>44218</v>
      </c>
      <c r="C183" s="1" t="n">
        <v>45566</v>
      </c>
      <c r="D183" t="inlineStr">
        <is>
          <t>SÖDERMANLANDS LÄN</t>
        </is>
      </c>
      <c r="E183" t="inlineStr">
        <is>
          <t>STRÄNGNÄS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3927-2021</t>
        </is>
      </c>
      <c r="B184" s="1" t="n">
        <v>44218</v>
      </c>
      <c r="C184" s="1" t="n">
        <v>45566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3935-2021</t>
        </is>
      </c>
      <c r="B185" s="1" t="n">
        <v>44218</v>
      </c>
      <c r="C185" s="1" t="n">
        <v>45566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6558-2021</t>
        </is>
      </c>
      <c r="B186" s="1" t="n">
        <v>44236</v>
      </c>
      <c r="C186" s="1" t="n">
        <v>45566</v>
      </c>
      <c r="D186" t="inlineStr">
        <is>
          <t>SÖDERMANLANDS LÄN</t>
        </is>
      </c>
      <c r="E186" t="inlineStr">
        <is>
          <t>STRÄNGNÄS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8450-2021</t>
        </is>
      </c>
      <c r="B187" s="1" t="n">
        <v>44244</v>
      </c>
      <c r="C187" s="1" t="n">
        <v>45566</v>
      </c>
      <c r="D187" t="inlineStr">
        <is>
          <t>SÖDERMANLANDS LÄN</t>
        </is>
      </c>
      <c r="E187" t="inlineStr">
        <is>
          <t>STRÄNGNÄS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10204-2021</t>
        </is>
      </c>
      <c r="B188" s="1" t="n">
        <v>44256</v>
      </c>
      <c r="C188" s="1" t="n">
        <v>45566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10195-2021</t>
        </is>
      </c>
      <c r="B189" s="1" t="n">
        <v>44256</v>
      </c>
      <c r="C189" s="1" t="n">
        <v>45566</v>
      </c>
      <c r="D189" t="inlineStr">
        <is>
          <t>SÖDERMANLANDS LÄN</t>
        </is>
      </c>
      <c r="E189" t="inlineStr">
        <is>
          <t>STRÄNGNÄS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10800-2021</t>
        </is>
      </c>
      <c r="B190" s="1" t="n">
        <v>44259</v>
      </c>
      <c r="C190" s="1" t="n">
        <v>45566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13209-2021</t>
        </is>
      </c>
      <c r="B191" s="1" t="n">
        <v>44272</v>
      </c>
      <c r="C191" s="1" t="n">
        <v>45566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13249-2021</t>
        </is>
      </c>
      <c r="B192" s="1" t="n">
        <v>44272</v>
      </c>
      <c r="C192" s="1" t="n">
        <v>45566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45566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13706-2021</t>
        </is>
      </c>
      <c r="B194" s="1" t="n">
        <v>44274</v>
      </c>
      <c r="C194" s="1" t="n">
        <v>45566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14106-2021</t>
        </is>
      </c>
      <c r="B195" s="1" t="n">
        <v>44277</v>
      </c>
      <c r="C195" s="1" t="n">
        <v>45566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14111-2021</t>
        </is>
      </c>
      <c r="B196" s="1" t="n">
        <v>44277</v>
      </c>
      <c r="C196" s="1" t="n">
        <v>45566</v>
      </c>
      <c r="D196" t="inlineStr">
        <is>
          <t>SÖDERMANLANDS LÄN</t>
        </is>
      </c>
      <c r="E196" t="inlineStr">
        <is>
          <t>STRÄNGNÄS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14437-2021</t>
        </is>
      </c>
      <c r="B197" s="1" t="n">
        <v>44279</v>
      </c>
      <c r="C197" s="1" t="n">
        <v>45566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45566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15394-2021</t>
        </is>
      </c>
      <c r="B199" s="1" t="n">
        <v>44284</v>
      </c>
      <c r="C199" s="1" t="n">
        <v>45566</v>
      </c>
      <c r="D199" t="inlineStr">
        <is>
          <t>SÖDERMANLANDS LÄN</t>
        </is>
      </c>
      <c r="E199" t="inlineStr">
        <is>
          <t>STRÄNGNÄS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16427-2021</t>
        </is>
      </c>
      <c r="B200" s="1" t="n">
        <v>44293</v>
      </c>
      <c r="C200" s="1" t="n">
        <v>45566</v>
      </c>
      <c r="D200" t="inlineStr">
        <is>
          <t>SÖDERMANLANDS LÄN</t>
        </is>
      </c>
      <c r="E200" t="inlineStr">
        <is>
          <t>STRÄNGNÄS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16767-2021</t>
        </is>
      </c>
      <c r="B201" s="1" t="n">
        <v>44294</v>
      </c>
      <c r="C201" s="1" t="n">
        <v>45566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17345-2021</t>
        </is>
      </c>
      <c r="B202" s="1" t="n">
        <v>44298</v>
      </c>
      <c r="C202" s="1" t="n">
        <v>45566</v>
      </c>
      <c r="D202" t="inlineStr">
        <is>
          <t>SÖDERMANLANDS LÄN</t>
        </is>
      </c>
      <c r="E202" t="inlineStr">
        <is>
          <t>STRÄNGNÄS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19334-2021</t>
        </is>
      </c>
      <c r="B203" s="1" t="n">
        <v>44309</v>
      </c>
      <c r="C203" s="1" t="n">
        <v>45566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20929-2021</t>
        </is>
      </c>
      <c r="B204" s="1" t="n">
        <v>44319</v>
      </c>
      <c r="C204" s="1" t="n">
        <v>45566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23137-2021</t>
        </is>
      </c>
      <c r="B205" s="1" t="n">
        <v>44331</v>
      </c>
      <c r="C205" s="1" t="n">
        <v>45566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27679-2021</t>
        </is>
      </c>
      <c r="B206" s="1" t="n">
        <v>44354</v>
      </c>
      <c r="C206" s="1" t="n">
        <v>45566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27689-2021</t>
        </is>
      </c>
      <c r="B207" s="1" t="n">
        <v>44354</v>
      </c>
      <c r="C207" s="1" t="n">
        <v>45566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27684-2021</t>
        </is>
      </c>
      <c r="B208" s="1" t="n">
        <v>44354</v>
      </c>
      <c r="C208" s="1" t="n">
        <v>45566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28984-2021</t>
        </is>
      </c>
      <c r="B209" s="1" t="n">
        <v>44358</v>
      </c>
      <c r="C209" s="1" t="n">
        <v>45566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30063-2021</t>
        </is>
      </c>
      <c r="B210" s="1" t="n">
        <v>44363</v>
      </c>
      <c r="C210" s="1" t="n">
        <v>45566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45566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31772-2021</t>
        </is>
      </c>
      <c r="B212" s="1" t="n">
        <v>44369</v>
      </c>
      <c r="C212" s="1" t="n">
        <v>45566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33312-2021</t>
        </is>
      </c>
      <c r="B213" s="1" t="n">
        <v>44377</v>
      </c>
      <c r="C213" s="1" t="n">
        <v>45566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33314-2021</t>
        </is>
      </c>
      <c r="B214" s="1" t="n">
        <v>44377</v>
      </c>
      <c r="C214" s="1" t="n">
        <v>45566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33321-2021</t>
        </is>
      </c>
      <c r="B215" s="1" t="n">
        <v>44377</v>
      </c>
      <c r="C215" s="1" t="n">
        <v>45566</v>
      </c>
      <c r="D215" t="inlineStr">
        <is>
          <t>SÖDERMANLANDS LÄN</t>
        </is>
      </c>
      <c r="E215" t="inlineStr">
        <is>
          <t>STRÄNGNÄS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33307-2021</t>
        </is>
      </c>
      <c r="B216" s="1" t="n">
        <v>44377</v>
      </c>
      <c r="C216" s="1" t="n">
        <v>45566</v>
      </c>
      <c r="D216" t="inlineStr">
        <is>
          <t>SÖDERMANLANDS LÄN</t>
        </is>
      </c>
      <c r="E216" t="inlineStr">
        <is>
          <t>STRÄNGNÄS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33752-2021</t>
        </is>
      </c>
      <c r="B217" s="1" t="n">
        <v>44378</v>
      </c>
      <c r="C217" s="1" t="n">
        <v>45566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35367-2021</t>
        </is>
      </c>
      <c r="B218" s="1" t="n">
        <v>44384</v>
      </c>
      <c r="C218" s="1" t="n">
        <v>45566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35368-2021</t>
        </is>
      </c>
      <c r="B219" s="1" t="n">
        <v>44384</v>
      </c>
      <c r="C219" s="1" t="n">
        <v>45566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35369-2021</t>
        </is>
      </c>
      <c r="B220" s="1" t="n">
        <v>44385</v>
      </c>
      <c r="C220" s="1" t="n">
        <v>45566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37430-2021</t>
        </is>
      </c>
      <c r="B221" s="1" t="n">
        <v>44398</v>
      </c>
      <c r="C221" s="1" t="n">
        <v>45566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45566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37429-2021</t>
        </is>
      </c>
      <c r="B223" s="1" t="n">
        <v>44398</v>
      </c>
      <c r="C223" s="1" t="n">
        <v>45566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38332-2021</t>
        </is>
      </c>
      <c r="B224" s="1" t="n">
        <v>44406</v>
      </c>
      <c r="C224" s="1" t="n">
        <v>45566</v>
      </c>
      <c r="D224" t="inlineStr">
        <is>
          <t>SÖDERMANLANDS LÄN</t>
        </is>
      </c>
      <c r="E224" t="inlineStr">
        <is>
          <t>STRÄNGNÄS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38339-2021</t>
        </is>
      </c>
      <c r="B225" s="1" t="n">
        <v>44406</v>
      </c>
      <c r="C225" s="1" t="n">
        <v>45566</v>
      </c>
      <c r="D225" t="inlineStr">
        <is>
          <t>SÖDERMANLANDS LÄN</t>
        </is>
      </c>
      <c r="E225" t="inlineStr">
        <is>
          <t>STRÄNGNÄS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39175-2021</t>
        </is>
      </c>
      <c r="B226" s="1" t="n">
        <v>44412</v>
      </c>
      <c r="C226" s="1" t="n">
        <v>45566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39380-2021</t>
        </is>
      </c>
      <c r="B227" s="1" t="n">
        <v>44414</v>
      </c>
      <c r="C227" s="1" t="n">
        <v>45566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40814-2021</t>
        </is>
      </c>
      <c r="B228" s="1" t="n">
        <v>44421</v>
      </c>
      <c r="C228" s="1" t="n">
        <v>45566</v>
      </c>
      <c r="D228" t="inlineStr">
        <is>
          <t>SÖDERMANLANDS LÄN</t>
        </is>
      </c>
      <c r="E228" t="inlineStr">
        <is>
          <t>STRÄNGNÄS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42462-2021</t>
        </is>
      </c>
      <c r="B229" s="1" t="n">
        <v>44427</v>
      </c>
      <c r="C229" s="1" t="n">
        <v>45566</v>
      </c>
      <c r="D229" t="inlineStr">
        <is>
          <t>SÖDERMANLANDS LÄN</t>
        </is>
      </c>
      <c r="E229" t="inlineStr">
        <is>
          <t>STRÄNGNÄS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43523-2021</t>
        </is>
      </c>
      <c r="B230" s="1" t="n">
        <v>44432</v>
      </c>
      <c r="C230" s="1" t="n">
        <v>45566</v>
      </c>
      <c r="D230" t="inlineStr">
        <is>
          <t>SÖDERMANLANDS LÄN</t>
        </is>
      </c>
      <c r="E230" t="inlineStr">
        <is>
          <t>STRÄNGNÄS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43412-2021</t>
        </is>
      </c>
      <c r="B231" s="1" t="n">
        <v>44432</v>
      </c>
      <c r="C231" s="1" t="n">
        <v>45566</v>
      </c>
      <c r="D231" t="inlineStr">
        <is>
          <t>SÖDERMANLANDS LÄN</t>
        </is>
      </c>
      <c r="E231" t="inlineStr">
        <is>
          <t>STRÄNGNÄS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43535-2021</t>
        </is>
      </c>
      <c r="B232" s="1" t="n">
        <v>44432</v>
      </c>
      <c r="C232" s="1" t="n">
        <v>45566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45129-2021</t>
        </is>
      </c>
      <c r="B233" s="1" t="n">
        <v>44439</v>
      </c>
      <c r="C233" s="1" t="n">
        <v>45566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45131-2021</t>
        </is>
      </c>
      <c r="B234" s="1" t="n">
        <v>44439</v>
      </c>
      <c r="C234" s="1" t="n">
        <v>45566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47251-2021</t>
        </is>
      </c>
      <c r="B235" s="1" t="n">
        <v>44439</v>
      </c>
      <c r="C235" s="1" t="n">
        <v>45566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46586-2021</t>
        </is>
      </c>
      <c r="B236" s="1" t="n">
        <v>44445</v>
      </c>
      <c r="C236" s="1" t="n">
        <v>45566</v>
      </c>
      <c r="D236" t="inlineStr">
        <is>
          <t>SÖDERMANLANDS LÄN</t>
        </is>
      </c>
      <c r="E236" t="inlineStr">
        <is>
          <t>STRÄNGNÄS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47726-2021</t>
        </is>
      </c>
      <c r="B237" s="1" t="n">
        <v>44448</v>
      </c>
      <c r="C237" s="1" t="n">
        <v>45566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48785-2021</t>
        </is>
      </c>
      <c r="B238" s="1" t="n">
        <v>44452</v>
      </c>
      <c r="C238" s="1" t="n">
        <v>45566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45566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49992-2021</t>
        </is>
      </c>
      <c r="B240" s="1" t="n">
        <v>44456</v>
      </c>
      <c r="C240" s="1" t="n">
        <v>45566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50334-2021</t>
        </is>
      </c>
      <c r="B241" s="1" t="n">
        <v>44459</v>
      </c>
      <c r="C241" s="1" t="n">
        <v>45566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50311-2021</t>
        </is>
      </c>
      <c r="B242" s="1" t="n">
        <v>44459</v>
      </c>
      <c r="C242" s="1" t="n">
        <v>45566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50296-2021</t>
        </is>
      </c>
      <c r="B243" s="1" t="n">
        <v>44459</v>
      </c>
      <c r="C243" s="1" t="n">
        <v>45566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55440-2021</t>
        </is>
      </c>
      <c r="B244" s="1" t="n">
        <v>44475</v>
      </c>
      <c r="C244" s="1" t="n">
        <v>45566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55663-2021</t>
        </is>
      </c>
      <c r="B245" s="1" t="n">
        <v>44475</v>
      </c>
      <c r="C245" s="1" t="n">
        <v>45566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57048-2021</t>
        </is>
      </c>
      <c r="B246" s="1" t="n">
        <v>44481</v>
      </c>
      <c r="C246" s="1" t="n">
        <v>45566</v>
      </c>
      <c r="D246" t="inlineStr">
        <is>
          <t>SÖDERMANLANDS LÄN</t>
        </is>
      </c>
      <c r="E246" t="inlineStr">
        <is>
          <t>STRÄNGNÄS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58518-2021</t>
        </is>
      </c>
      <c r="B247" s="1" t="n">
        <v>44488</v>
      </c>
      <c r="C247" s="1" t="n">
        <v>45566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60331-2021</t>
        </is>
      </c>
      <c r="B248" s="1" t="n">
        <v>44495</v>
      </c>
      <c r="C248" s="1" t="n">
        <v>45566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60398-2021</t>
        </is>
      </c>
      <c r="B249" s="1" t="n">
        <v>44496</v>
      </c>
      <c r="C249" s="1" t="n">
        <v>45566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45566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45566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60748-2021</t>
        </is>
      </c>
      <c r="B252" s="1" t="n">
        <v>44496</v>
      </c>
      <c r="C252" s="1" t="n">
        <v>45566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</v>
      </c>
      <c r="C253" s="1" t="n">
        <v>45566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62617-2021</t>
        </is>
      </c>
      <c r="B254" s="1" t="n">
        <v>44503</v>
      </c>
      <c r="C254" s="1" t="n">
        <v>45566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63732-2021</t>
        </is>
      </c>
      <c r="B255" s="1" t="n">
        <v>44508</v>
      </c>
      <c r="C255" s="1" t="n">
        <v>45566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64403-2021</t>
        </is>
      </c>
      <c r="B256" s="1" t="n">
        <v>44511</v>
      </c>
      <c r="C256" s="1" t="n">
        <v>45566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65711-2021</t>
        </is>
      </c>
      <c r="B257" s="1" t="n">
        <v>44516</v>
      </c>
      <c r="C257" s="1" t="n">
        <v>45566</v>
      </c>
      <c r="D257" t="inlineStr">
        <is>
          <t>SÖDERMANLANDS LÄN</t>
        </is>
      </c>
      <c r="E257" t="inlineStr">
        <is>
          <t>STRÄNGNÄS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45566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66541-2021</t>
        </is>
      </c>
      <c r="B259" s="1" t="n">
        <v>44519</v>
      </c>
      <c r="C259" s="1" t="n">
        <v>45566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67639-2021</t>
        </is>
      </c>
      <c r="B260" s="1" t="n">
        <v>44524</v>
      </c>
      <c r="C260" s="1" t="n">
        <v>45566</v>
      </c>
      <c r="D260" t="inlineStr">
        <is>
          <t>SÖDERMANLANDS LÄN</t>
        </is>
      </c>
      <c r="E260" t="inlineStr">
        <is>
          <t>STRÄNGNÄS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67925-2021</t>
        </is>
      </c>
      <c r="B261" s="1" t="n">
        <v>44525</v>
      </c>
      <c r="C261" s="1" t="n">
        <v>45566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68720-2021</t>
        </is>
      </c>
      <c r="B262" s="1" t="n">
        <v>44529</v>
      </c>
      <c r="C262" s="1" t="n">
        <v>45566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68905-2021</t>
        </is>
      </c>
      <c r="B263" s="1" t="n">
        <v>44530</v>
      </c>
      <c r="C263" s="1" t="n">
        <v>45566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69178-2021</t>
        </is>
      </c>
      <c r="B264" s="1" t="n">
        <v>44531</v>
      </c>
      <c r="C264" s="1" t="n">
        <v>45566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69175-2021</t>
        </is>
      </c>
      <c r="B265" s="1" t="n">
        <v>44531</v>
      </c>
      <c r="C265" s="1" t="n">
        <v>45566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69800-2021</t>
        </is>
      </c>
      <c r="B266" s="1" t="n">
        <v>44532</v>
      </c>
      <c r="C266" s="1" t="n">
        <v>45566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69822-2021</t>
        </is>
      </c>
      <c r="B267" s="1" t="n">
        <v>44532</v>
      </c>
      <c r="C267" s="1" t="n">
        <v>45566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70934-2021</t>
        </is>
      </c>
      <c r="B268" s="1" t="n">
        <v>44537</v>
      </c>
      <c r="C268" s="1" t="n">
        <v>45566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45566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73092-2021</t>
        </is>
      </c>
      <c r="B270" s="1" t="n">
        <v>44550</v>
      </c>
      <c r="C270" s="1" t="n">
        <v>45566</v>
      </c>
      <c r="D270" t="inlineStr">
        <is>
          <t>SÖDERMANLANDS LÄN</t>
        </is>
      </c>
      <c r="E270" t="inlineStr">
        <is>
          <t>STRÄNGNÄS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569-2022</t>
        </is>
      </c>
      <c r="B271" s="1" t="n">
        <v>44566</v>
      </c>
      <c r="C271" s="1" t="n">
        <v>45566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481-2022</t>
        </is>
      </c>
      <c r="B272" s="1" t="n">
        <v>44566</v>
      </c>
      <c r="C272" s="1" t="n">
        <v>45566</v>
      </c>
      <c r="D272" t="inlineStr">
        <is>
          <t>SÖDERMANLANDS LÄN</t>
        </is>
      </c>
      <c r="E272" t="inlineStr">
        <is>
          <t>STRÄNGNÄS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45566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45566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2493-2022</t>
        </is>
      </c>
      <c r="B275" s="1" t="n">
        <v>44579</v>
      </c>
      <c r="C275" s="1" t="n">
        <v>45566</v>
      </c>
      <c r="D275" t="inlineStr">
        <is>
          <t>SÖDERMANLANDS LÄN</t>
        </is>
      </c>
      <c r="E275" t="inlineStr">
        <is>
          <t>STRÄNGNÄS</t>
        </is>
      </c>
      <c r="G275" t="n">
        <v>36.4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45566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45566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45566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45566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45566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45566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45566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45566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45566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45566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45566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45566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45566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45566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45566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45566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45566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45566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45566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45566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45566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45566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45566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45566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45566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45566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45566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45566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45566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45566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45566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45566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45566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45566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45566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45566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45566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45566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45566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45566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45566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45566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45566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45566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45566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45566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45566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45566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45566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45566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45566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45566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45566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45566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45566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45566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45566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45566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45566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45566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45566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45566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45566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45566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45566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45566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45566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45566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45566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45566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45566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45566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45566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45566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45566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45566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45566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45566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45566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45566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45566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45566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45566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45566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45566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45566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45566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45566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45566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45566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45566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45566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45566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45566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45566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45566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45566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45566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45566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45566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45566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45566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45566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45566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45566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45566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45566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45566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45566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45566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45566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45566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45566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45566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45566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45566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45566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45566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45566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45566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45566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45566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45566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45566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45566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45566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45566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45566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45566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45566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45566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45566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45566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45566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45566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45566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45566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45566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45566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45566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45566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45566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45566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45566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45566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45566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45566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45566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45566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45566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45566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45566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45566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45566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45566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45566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45566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45566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45566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45566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45566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45566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45566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45566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45566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45566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45566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45566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45566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45566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45566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45566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45566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45566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45566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45566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45566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45566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45566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45566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45566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45566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45566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45566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45566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45566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45566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45566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45566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45566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45566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45566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45566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45566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45566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45566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45566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45566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45566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45566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45566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45566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45566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45566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45566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45566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45566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45566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45566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45566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45566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45566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45566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45566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45566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45566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45566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45566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45566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45566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45566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45566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45566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45566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45566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45566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45566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45566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45566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45566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45566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45566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45566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45566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45566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45566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45566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45566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45566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45566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45566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45566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45566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45566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45566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45566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45566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45566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45566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45566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45566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45566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45566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45566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45566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45566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45566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45566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45566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45566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45566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45566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45566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45566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45566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45566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45566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45566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45566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45566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45566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45566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45566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45566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45566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45566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45566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45566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45566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45566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45566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45566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45566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45566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45566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45566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45566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45566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45566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45566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45566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45566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45566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45566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45566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45566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45566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45566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45566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45566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45566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45566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45566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36797-2024</t>
        </is>
      </c>
      <c r="B579" s="1" t="n">
        <v>45538</v>
      </c>
      <c r="C579" s="1" t="n">
        <v>45566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2024-10-01T12:21:29Z</dcterms:created>
  <dcterms:modified xmlns:dcterms="http://purl.org/dc/terms/" xmlns:xsi="http://www.w3.org/2001/XMLSchema-instance" xsi:type="dcterms:W3CDTF">2024-10-01T12:21:30Z</dcterms:modified>
</cp:coreProperties>
</file>