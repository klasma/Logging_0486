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45716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6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20</v>
      </c>
      <c r="R2" s="2" t="inlineStr">
        <is>
          <t>Bombmurkla
Knärot
Grönsångare
Motaggsvamp
Nordfladdermus
Persiljespindling
Spillkråka
Tallriska
Talltita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45716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45716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38251-2023</t>
        </is>
      </c>
      <c r="B5" s="1" t="n">
        <v>45160</v>
      </c>
      <c r="C5" s="1" t="n">
        <v>45716</v>
      </c>
      <c r="D5" t="inlineStr">
        <is>
          <t>SÖDERMANLANDS LÄN</t>
        </is>
      </c>
      <c r="E5" t="inlineStr">
        <is>
          <t>STRÄNGNÄS</t>
        </is>
      </c>
      <c r="G5" t="n">
        <v>14.7</v>
      </c>
      <c r="H5" t="n">
        <v>3</v>
      </c>
      <c r="I5" t="n">
        <v>6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Vågticka
Spillkråka
Talltita
Brandticka
Bronshjon
Fransig jordstjärna
Hasselticka
Mindre märgborre
Trådticka
Blåsippa</t>
        </is>
      </c>
      <c r="S5">
        <f>HYPERLINK("https://klasma.github.io/Logging_0486/artfynd/A 38251-2023 artfynd.xlsx", "A 38251-2023")</f>
        <v/>
      </c>
      <c r="T5">
        <f>HYPERLINK("https://klasma.github.io/Logging_0486/kartor/A 38251-2023 karta.png", "A 38251-2023")</f>
        <v/>
      </c>
      <c r="V5">
        <f>HYPERLINK("https://klasma.github.io/Logging_0486/klagomål/A 38251-2023 FSC-klagomål.docx", "A 38251-2023")</f>
        <v/>
      </c>
      <c r="W5">
        <f>HYPERLINK("https://klasma.github.io/Logging_0486/klagomålsmail/A 38251-2023 FSC-klagomål mail.docx", "A 38251-2023")</f>
        <v/>
      </c>
      <c r="X5">
        <f>HYPERLINK("https://klasma.github.io/Logging_0486/tillsyn/A 38251-2023 tillsynsbegäran.docx", "A 38251-2023")</f>
        <v/>
      </c>
      <c r="Y5">
        <f>HYPERLINK("https://klasma.github.io/Logging_0486/tillsynsmail/A 38251-2023 tillsynsbegäran mail.docx", "A 38251-2023")</f>
        <v/>
      </c>
      <c r="Z5">
        <f>HYPERLINK("https://klasma.github.io/Logging_0486/fåglar/A 38251-2023 prioriterade fågelarter.docx", "A 38251-2023")</f>
        <v/>
      </c>
    </row>
    <row r="6" ht="15" customHeight="1">
      <c r="A6" t="inlineStr">
        <is>
          <t>A 42577-2023</t>
        </is>
      </c>
      <c r="B6" s="1" t="n">
        <v>45181</v>
      </c>
      <c r="C6" s="1" t="n">
        <v>45716</v>
      </c>
      <c r="D6" t="inlineStr">
        <is>
          <t>SÖDERMANLANDS LÄN</t>
        </is>
      </c>
      <c r="E6" t="inlineStr">
        <is>
          <t>STRÄNGNÄS</t>
        </is>
      </c>
      <c r="G6" t="n">
        <v>4.9</v>
      </c>
      <c r="H6" t="n">
        <v>9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Entita
Grönsångare
Mindre hackspett
Spillkråka
Svartvit flugsnappare
Talltita
Bivråk
Orre
Tjäder</t>
        </is>
      </c>
      <c r="S6">
        <f>HYPERLINK("https://klasma.github.io/Logging_0486/artfynd/A 42577-2023 artfynd.xlsx", "A 42577-2023")</f>
        <v/>
      </c>
      <c r="T6">
        <f>HYPERLINK("https://klasma.github.io/Logging_0486/kartor/A 42577-2023 karta.png", "A 42577-2023")</f>
        <v/>
      </c>
      <c r="V6">
        <f>HYPERLINK("https://klasma.github.io/Logging_0486/klagomål/A 42577-2023 FSC-klagomål.docx", "A 42577-2023")</f>
        <v/>
      </c>
      <c r="W6">
        <f>HYPERLINK("https://klasma.github.io/Logging_0486/klagomålsmail/A 42577-2023 FSC-klagomål mail.docx", "A 42577-2023")</f>
        <v/>
      </c>
      <c r="X6">
        <f>HYPERLINK("https://klasma.github.io/Logging_0486/tillsyn/A 42577-2023 tillsynsbegäran.docx", "A 42577-2023")</f>
        <v/>
      </c>
      <c r="Y6">
        <f>HYPERLINK("https://klasma.github.io/Logging_0486/tillsynsmail/A 42577-2023 tillsynsbegäran mail.docx", "A 42577-2023")</f>
        <v/>
      </c>
      <c r="Z6">
        <f>HYPERLINK("https://klasma.github.io/Logging_0486/fåglar/A 42577-2023 prioriterade fågelarter.docx", "A 42577-2023")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45716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Nordfladdermus
Orange taggsvamp
Spillkråka
Blomkålssvamp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11569-2024</t>
        </is>
      </c>
      <c r="B8" s="1" t="n">
        <v>45373</v>
      </c>
      <c r="C8" s="1" t="n">
        <v>45716</v>
      </c>
      <c r="D8" t="inlineStr">
        <is>
          <t>SÖDERMANLANDS LÄN</t>
        </is>
      </c>
      <c r="E8" t="inlineStr">
        <is>
          <t>STRÄNGNÄS</t>
        </is>
      </c>
      <c r="G8" t="n">
        <v>6.5</v>
      </c>
      <c r="H8" t="n">
        <v>4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Motaggsvamp
Spillkråka
Blåmossa
Granbarkgnagare
Mindre märgborre
Mattlummer
Revlummer</t>
        </is>
      </c>
      <c r="S8">
        <f>HYPERLINK("https://klasma.github.io/Logging_0486/artfynd/A 11569-2024 artfynd.xlsx", "A 11569-2024")</f>
        <v/>
      </c>
      <c r="T8">
        <f>HYPERLINK("https://klasma.github.io/Logging_0486/kartor/A 11569-2024 karta.png", "A 11569-2024")</f>
        <v/>
      </c>
      <c r="U8">
        <f>HYPERLINK("https://klasma.github.io/Logging_0486/knärot/A 11569-2024 karta knärot.png", "A 11569-2024")</f>
        <v/>
      </c>
      <c r="V8">
        <f>HYPERLINK("https://klasma.github.io/Logging_0486/klagomål/A 11569-2024 FSC-klagomål.docx", "A 11569-2024")</f>
        <v/>
      </c>
      <c r="W8">
        <f>HYPERLINK("https://klasma.github.io/Logging_0486/klagomålsmail/A 11569-2024 FSC-klagomål mail.docx", "A 11569-2024")</f>
        <v/>
      </c>
      <c r="X8">
        <f>HYPERLINK("https://klasma.github.io/Logging_0486/tillsyn/A 11569-2024 tillsynsbegäran.docx", "A 11569-2024")</f>
        <v/>
      </c>
      <c r="Y8">
        <f>HYPERLINK("https://klasma.github.io/Logging_0486/tillsynsmail/A 11569-2024 tillsynsbegäran mail.docx", "A 11569-2024")</f>
        <v/>
      </c>
      <c r="Z8">
        <f>HYPERLINK("https://klasma.github.io/Logging_0486/fåglar/A 11569-2024 prioriterade fågelarter.docx", "A 11569-2024")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45716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Spetsvaxskivling
Toppvaxskivling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45716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45716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45716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45716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45716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45716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Kantarellvaxskivling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45716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45716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45716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45716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45716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45716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45716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45716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45716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45716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45716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45716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45716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45716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45716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45716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45716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45716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45716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45716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45716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45716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45716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45716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45716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45716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45716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45716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45716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45716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45716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45716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45716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45716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45716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45716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45716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45716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45716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45716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45716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45716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45716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45716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45716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45716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45716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45716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45716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45716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45716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45716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45716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45716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45716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45716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45716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45716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45716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45716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45716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45716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45716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45716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45716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45716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45716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45716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45716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45716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45716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45716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45716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45716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45716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45716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45716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45716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45716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45716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45716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45716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45716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45716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45716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45716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45716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45716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45716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45716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45716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45716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45716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45716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45716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45716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45716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45716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45716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45716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45716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45716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45716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45716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45716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45716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45716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45716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45716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45716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45716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45716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45716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45716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45716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45716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45716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45716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45716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45716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45716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45716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45716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45716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45716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45716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45716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45716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45716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45716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45716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45716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45716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45716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45716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45716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45716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45716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45716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45716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45716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45716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45716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45716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45716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45716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45716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45716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45716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45716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45716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45716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45716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45716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45716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45716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45716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45716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45716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45716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45716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45716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45716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45716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45716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45716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45716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45716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45716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45716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45716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45716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45716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45716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45716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45716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45716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45716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45716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45716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45716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45716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45716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45716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45716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45716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45716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45716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45716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45716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45716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45716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45716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45716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45716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45716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45716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45716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45716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45716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45716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45716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45716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45716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45716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45716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45716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45716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45716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45716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45716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45716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45716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45716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45716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45716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45716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45716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45716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45716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45716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45716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45716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45716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45716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45716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45716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45716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45716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45716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45716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45716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45716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45716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45716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45716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45716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45716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45716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45716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45716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45716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45716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45716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45716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45716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45716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45716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45716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45716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45716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45716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45716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45716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45716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45716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45716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45716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45716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45716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45716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45716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45716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45716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45716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45716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45716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45716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45716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45716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45716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45716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45716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45716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45716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45716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45716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45716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45716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45716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45716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45716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45716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45716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45716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45716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45716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45716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45716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45716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45716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45716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45716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45716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45716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45716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45716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45716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45716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45716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45716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45716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45716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45716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45716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45716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45716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45716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45716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45716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45716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45716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45716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45716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45716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45716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45716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45716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45716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45716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45716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45716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45716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45716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45716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45716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45716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45716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45716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45716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45716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45716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45716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45716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45716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45716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45716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45716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45716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45716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45716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45716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45716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45716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45716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45716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45716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45716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45716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45716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45716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45716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45716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45716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45716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45716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45716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45716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45716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45716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45716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45716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45716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45716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45716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45716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45716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45716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45716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45716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45716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45716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45716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45716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45716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45716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45716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45716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45716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45716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45716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45716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45716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45716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45716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45716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45716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45716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45716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45716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45716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45716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45716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45716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45716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45716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45716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45716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45716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45716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45716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45716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45716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45716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45716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45716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45716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45716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45716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45716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45716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45716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45716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45716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45716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45716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45716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45716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45716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45716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45716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45716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45716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45716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45716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45716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45716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45716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45716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45716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45716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45716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45716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45716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45716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45716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45716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45716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45716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45716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45716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45716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45716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45716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45716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45716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45716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45716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45716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45716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45716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45716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45716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45716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45716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45716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45716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45716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45716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45716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45716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45716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45716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45716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45716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45716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45716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45716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45716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45716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45716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45716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45716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45716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45716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45716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45716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45716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45716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45716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45716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45716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45716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45716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45716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45716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45716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45716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45716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45716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45716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45716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45716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45716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45716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45716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45716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45716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45716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45716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45716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45716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45716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45716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45716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45716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45716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45716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45716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45716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45716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45716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45716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45716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45716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45716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45716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45716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45716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45716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45716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45716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45716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45716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45716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45716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45716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45716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45716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45716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45716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45716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45716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45716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45716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45716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45716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45716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45716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45716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45716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45716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45716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45716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45716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45716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45716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45716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45716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45716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45716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45716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45716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45716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45716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45716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45716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45716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45716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45716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45716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45716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45716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45716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45716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45716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45716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45716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45716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45716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45716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45716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45716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45716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45716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45716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45716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45716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45716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45716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45716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45716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45716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45716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45716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45716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45716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45716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45716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45716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45716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45716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45716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45716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45716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45716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45716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45716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45716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45716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45716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45716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45716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45716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45716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45716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45716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45716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45716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5348-2025</t>
        </is>
      </c>
      <c r="B625" s="1" t="n">
        <v>45692</v>
      </c>
      <c r="C625" s="1" t="n">
        <v>45716</v>
      </c>
      <c r="D625" t="inlineStr">
        <is>
          <t>SÖDERMANLANDS LÄN</t>
        </is>
      </c>
      <c r="E625" t="inlineStr">
        <is>
          <t>STRÄNGNÄS</t>
        </is>
      </c>
      <c r="F625" t="inlineStr">
        <is>
          <t>Allmännings- och besparingsskogar</t>
        </is>
      </c>
      <c r="G625" t="n">
        <v>9.4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5457-2025</t>
        </is>
      </c>
      <c r="B626" s="1" t="n">
        <v>45692</v>
      </c>
      <c r="C626" s="1" t="n">
        <v>45716</v>
      </c>
      <c r="D626" t="inlineStr">
        <is>
          <t>SÖDERMANLANDS LÄN</t>
        </is>
      </c>
      <c r="E626" t="inlineStr">
        <is>
          <t>STRÄNGNÄS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5458-2025</t>
        </is>
      </c>
      <c r="B627" s="1" t="n">
        <v>45692</v>
      </c>
      <c r="C627" s="1" t="n">
        <v>45716</v>
      </c>
      <c r="D627" t="inlineStr">
        <is>
          <t>SÖDERMANLANDS LÄN</t>
        </is>
      </c>
      <c r="E627" t="inlineStr">
        <is>
          <t>STRÄNGNÄS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5459-2025</t>
        </is>
      </c>
      <c r="B628" s="1" t="n">
        <v>45692</v>
      </c>
      <c r="C628" s="1" t="n">
        <v>45716</v>
      </c>
      <c r="D628" t="inlineStr">
        <is>
          <t>SÖDERMANLANDS LÄN</t>
        </is>
      </c>
      <c r="E628" t="inlineStr">
        <is>
          <t>STRÄNGNÄS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5456-2025</t>
        </is>
      </c>
      <c r="B629" s="1" t="n">
        <v>45692</v>
      </c>
      <c r="C629" s="1" t="n">
        <v>45716</v>
      </c>
      <c r="D629" t="inlineStr">
        <is>
          <t>SÖDERMANLANDS LÄN</t>
        </is>
      </c>
      <c r="E629" t="inlineStr">
        <is>
          <t>STRÄNGNÄS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45716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6057-2025</t>
        </is>
      </c>
      <c r="B631" s="1" t="n">
        <v>45695</v>
      </c>
      <c r="C631" s="1" t="n">
        <v>45716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8524-2025</t>
        </is>
      </c>
      <c r="B632" s="1" t="n">
        <v>45709</v>
      </c>
      <c r="C632" s="1" t="n">
        <v>45716</v>
      </c>
      <c r="D632" t="inlineStr">
        <is>
          <t>SÖDERMANLANDS LÄN</t>
        </is>
      </c>
      <c r="E632" t="inlineStr">
        <is>
          <t>STRÄNGNÄS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>
      <c r="A633" t="inlineStr">
        <is>
          <t>A 8998-2025</t>
        </is>
      </c>
      <c r="B633" s="1" t="n">
        <v>45713</v>
      </c>
      <c r="C633" s="1" t="n">
        <v>45716</v>
      </c>
      <c r="D633" t="inlineStr">
        <is>
          <t>SÖDERMANLANDS LÄN</t>
        </is>
      </c>
      <c r="E633" t="inlineStr">
        <is>
          <t>STRÄNGNÄS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2025-02-28T15:59:19Z</dcterms:created>
  <dcterms:modified xmlns:dcterms="http://purl.org/dc/terms/" xmlns:xsi="http://www.w3.org/2001/XMLSchema-instance" xsi:type="dcterms:W3CDTF">2025-02-28T15:59:19Z</dcterms:modified>
</cp:coreProperties>
</file>